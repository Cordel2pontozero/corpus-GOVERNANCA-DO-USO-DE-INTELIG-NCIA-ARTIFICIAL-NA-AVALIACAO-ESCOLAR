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_QWK" sheetId="1" state="visible" r:id="rId1"/>
    <sheet name="Distribuicao_faixas" sheetId="2" state="visible" r:id="rId2"/>
    <sheet name="Resumo_fontes" sheetId="3" state="visible" r:id="rId3"/>
    <sheet name="Incerteza_reserva" sheetId="4" state="visible" r:id="rId4"/>
    <sheet name="Validacao" sheetId="5" state="visible" r:id="rId5"/>
    <sheet name="Fontes" sheetId="6" state="visible" r:id="rId6"/>
    <sheet name="Artigo_Tab1" sheetId="7" state="visible" r:id="rId7"/>
    <sheet name="Artigo_Tab2" sheetId="8" state="visible" r:id="rId8"/>
    <sheet name="Artigo_Tab3" sheetId="9" state="visible" r:id="rId9"/>
    <sheet name="Artigo_Tab4" sheetId="10" state="visible" r:id="rId10"/>
    <sheet name="Artigo_Tab5" sheetId="11" state="visible" r:id="rId11"/>
    <sheet name="Artigo_Tab6" sheetId="12" state="visible" r:id="rId12"/>
    <sheet name="Artigo_Tab7" sheetId="13" state="visible" r:id="rId13"/>
    <sheet name="Artigo_A1" sheetId="14" state="visible" r:id="rId14"/>
    <sheet name="Artigo_A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Nota final por faixa: Enem oficial, USP (anotadores) e Arara (produção atual)</a:t>
            </a:r>
          </a:p>
        </rich>
      </tx>
    </title>
    <plotArea>
      <lineChart>
        <grouping val="standard"/>
        <ser>
          <idx val="0"/>
          <order val="0"/>
          <tx>
            <strRef>
              <f>'Distribuicao_faixas'!B4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'Distribuicao_faixas'!$B$5:$B$16</f>
            </numRef>
          </val>
          <smooth val="0"/>
        </ser>
        <ser>
          <idx val="1"/>
          <order val="1"/>
          <tx>
            <strRef>
              <f>'Distribuicao_faixas'!C4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circl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'Distribuicao_faixas'!$C$5:$C$16</f>
            </numRef>
          </val>
          <smooth val="0"/>
        </ser>
        <ser>
          <idx val="2"/>
          <order val="2"/>
          <tx>
            <strRef>
              <f>'Distribuicao_faixas'!D4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circle"/>
            <size val="7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'Distribuicao_faixas'!$D$5:$D$16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Faixa de nota final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das redações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Enem oficial por edição (2019 a 2024)</a:t>
            </a:r>
          </a:p>
        </rich>
      </tx>
    </title>
    <plotArea>
      <lineChart>
        <grouping val="standard"/>
        <ser>
          <idx val="0"/>
          <order val="0"/>
          <tx>
            <strRef>
              <f>'Distribuicao_faixas'!H4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'Distribuicao_faixas'!$H$5:$H$16</f>
            </numRef>
          </val>
        </ser>
        <ser>
          <idx val="1"/>
          <order val="1"/>
          <tx>
            <strRef>
              <f>'Distribuicao_faixas'!I4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'Distribuicao_faixas'!$I$5:$I$16</f>
            </numRef>
          </val>
        </ser>
        <ser>
          <idx val="2"/>
          <order val="2"/>
          <tx>
            <strRef>
              <f>'Distribuicao_faixas'!J4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'Distribuicao_faixas'!$J$5:$J$16</f>
            </numRef>
          </val>
        </ser>
        <ser>
          <idx val="3"/>
          <order val="3"/>
          <tx>
            <strRef>
              <f>'Distribuicao_faixas'!K4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'Distribuicao_faixas'!$K$5:$K$16</f>
            </numRef>
          </val>
        </ser>
        <ser>
          <idx val="4"/>
          <order val="4"/>
          <tx>
            <strRef>
              <f>'Distribuicao_faixas'!L4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'Distribuicao_faixas'!$L$5:$L$16</f>
            </numRef>
          </val>
        </ser>
        <ser>
          <idx val="5"/>
          <order val="5"/>
          <tx>
            <strRef>
              <f>'Distribuicao_faixas'!M4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'Distribuicao_faixas'!$A$5:$A$16</f>
            </numRef>
          </cat>
          <val>
            <numRef>
              <f>'Distribuicao_faixas'!$M$5:$M$16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Faixa de nota final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das redações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42</row>
      <rowOff>0</rowOff>
    </from>
    <ext cx="93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QWK entre duas leituras da mesma redação: Enem oficial, anotadores da USP e corretor Arara</t>
        </is>
      </c>
    </row>
    <row r="2" ht="60" customHeight="1">
      <c r="A2" s="2" t="inlineStr">
        <is>
          <t>Enem: AV1 × AV2, população B (os dois com status 'sem problemas'), por edição, grade de 40. USP: anotadores A × B (grade de 40). Arara: notas da produção atual (NOVO, calibração B1+P1 ligada em 14/10/2026) e da régua anterior (B0) sobre as 206 redações da reserva da USP; 'QWK justo' = média de QWK(Arara, A) e QWK(Arara, B) em grade de 20; a coluna 'vs média' compara com a média dos dois anotadores. Comparações só valem entre colunas calculadas nas mesmas redações.</t>
        </is>
      </c>
    </row>
    <row r="4" ht="75" customHeight="1">
      <c r="A4" s="3" t="inlineStr">
        <is>
          <t>Medida</t>
        </is>
      </c>
      <c r="B4" s="3" t="inlineStr">
        <is>
          <t>Enem: média 2019–2024 (AV1×AV2, pop. B)</t>
        </is>
      </c>
      <c r="C4" s="3" t="inlineStr">
        <is>
          <t>Enem: menor ano</t>
        </is>
      </c>
      <c r="D4" s="3" t="inlineStr">
        <is>
          <t>Enem: maior ano</t>
        </is>
      </c>
      <c r="E4" s="3" t="inlineStr">
        <is>
          <t>USP 385: A×B (pop. A, = artigo)</t>
        </is>
      </c>
      <c r="F4" s="3" t="inlineStr">
        <is>
          <t>USP 381: A×B (pop. B)</t>
        </is>
      </c>
      <c r="G4" s="3" t="inlineStr">
        <is>
          <t>USP 206 (reserva): A×B, grade 40</t>
        </is>
      </c>
      <c r="H4" s="3" t="inlineStr">
        <is>
          <t>USP 206 (reserva): A×B, grade 20</t>
        </is>
      </c>
      <c r="I4" s="3" t="inlineStr">
        <is>
          <t>Arara NOVO × anotadores (QWK justo, 206)</t>
        </is>
      </c>
      <c r="J4" s="3" t="inlineStr">
        <is>
          <t>Arara B0 × anotadores (QWK justo, 206)</t>
        </is>
      </c>
      <c r="K4" s="3" t="inlineStr">
        <is>
          <t>Arara NOVO × média dos anotadores (206)</t>
        </is>
      </c>
      <c r="L4" s="3" t="inlineStr">
        <is>
          <t>Viés Arara NOVO (pontos)</t>
        </is>
      </c>
      <c r="M4" s="3" t="inlineStr">
        <is>
          <t>Viés Arara B0 (pontos)</t>
        </is>
      </c>
    </row>
    <row r="5">
      <c r="A5" t="inlineStr">
        <is>
          <t>C1</t>
        </is>
      </c>
      <c r="B5" s="4" t="n">
        <v>0.5099924760001023</v>
      </c>
      <c r="C5" s="4" t="n">
        <v>0.4910184328467752</v>
      </c>
      <c r="D5" s="4" t="n">
        <v>0.5293824759836343</v>
      </c>
      <c r="E5" s="4" t="n">
        <v>0.5688895242179496</v>
      </c>
      <c r="F5" s="4" t="n">
        <v>0.5576987012137629</v>
      </c>
      <c r="G5" s="4" t="n">
        <v>0.501415654397662</v>
      </c>
      <c r="H5" s="4" t="n">
        <v>0.501415654397662</v>
      </c>
      <c r="I5" s="4" t="n">
        <v>0.5016835731845796</v>
      </c>
      <c r="J5" s="4" t="n">
        <v>0.5380370215299742</v>
      </c>
      <c r="K5" s="4" t="n">
        <v>0.5777915510416813</v>
      </c>
      <c r="L5" s="5" t="n">
        <v>-8.058252427184467</v>
      </c>
      <c r="M5" s="5" t="n">
        <v>-8.737864077669903</v>
      </c>
    </row>
    <row r="6">
      <c r="A6" t="inlineStr">
        <is>
          <t>C2</t>
        </is>
      </c>
      <c r="B6" s="4" t="n">
        <v>0.6448703921101996</v>
      </c>
      <c r="C6" s="4" t="n">
        <v>0.5492417160016949</v>
      </c>
      <c r="D6" s="4" t="n">
        <v>0.7248221680682614</v>
      </c>
      <c r="E6" s="4" t="n">
        <v>0.5406437078909494</v>
      </c>
      <c r="F6" s="4" t="n">
        <v>0.5290233019335646</v>
      </c>
      <c r="G6" s="4" t="n">
        <v>0.3783783783783783</v>
      </c>
      <c r="H6" s="4" t="n">
        <v>0.3783783783783784</v>
      </c>
      <c r="I6" s="4" t="n">
        <v>0.3454076873751041</v>
      </c>
      <c r="J6" s="4" t="n">
        <v>0.3643116028750916</v>
      </c>
      <c r="K6" s="4" t="n">
        <v>0.41532475407627</v>
      </c>
      <c r="L6" s="5" t="n">
        <v>-12.62135922330097</v>
      </c>
      <c r="M6" s="5" t="n">
        <v>-13.78640776699029</v>
      </c>
    </row>
    <row r="7">
      <c r="A7" t="inlineStr">
        <is>
          <t>C3</t>
        </is>
      </c>
      <c r="B7" s="4" t="n">
        <v>0.5726583172599607</v>
      </c>
      <c r="C7" s="4" t="n">
        <v>0.5499320452720902</v>
      </c>
      <c r="D7" s="4" t="n">
        <v>0.6105689557582308</v>
      </c>
      <c r="E7" s="4" t="n">
        <v>0.5854456140021629</v>
      </c>
      <c r="F7" s="4" t="n">
        <v>0.5700084955417091</v>
      </c>
      <c r="G7" s="4" t="n">
        <v>0.4236502732240438</v>
      </c>
      <c r="H7" s="4" t="n">
        <v>0.4236502732240437</v>
      </c>
      <c r="I7" s="4" t="n">
        <v>0.3746674002313529</v>
      </c>
      <c r="J7" s="4" t="n">
        <v>0.3910533577175061</v>
      </c>
      <c r="K7" s="4" t="n">
        <v>0.4621362953648398</v>
      </c>
      <c r="L7" s="5" t="n">
        <v>-11.84466019417476</v>
      </c>
      <c r="M7" s="5" t="n">
        <v>-13.10679611650485</v>
      </c>
    </row>
    <row r="8">
      <c r="A8" t="inlineStr">
        <is>
          <t>C4</t>
        </is>
      </c>
      <c r="B8" s="4" t="n">
        <v>0.6205914310710918</v>
      </c>
      <c r="C8" s="4" t="n">
        <v>0.5848983912587273</v>
      </c>
      <c r="D8" s="4" t="n">
        <v>0.6421463851370737</v>
      </c>
      <c r="E8" s="4" t="n">
        <v>0.4544479825000942</v>
      </c>
      <c r="F8" s="4" t="n">
        <v>0.4592328145627636</v>
      </c>
      <c r="G8" s="4" t="n">
        <v>0.3969117570858592</v>
      </c>
      <c r="H8" s="4" t="n">
        <v>0.3969117570858592</v>
      </c>
      <c r="I8" s="4" t="n">
        <v>0.3200504743788572</v>
      </c>
      <c r="J8" s="4" t="n">
        <v>0.3302590784344293</v>
      </c>
      <c r="K8" s="4" t="n">
        <v>0.3631633939054473</v>
      </c>
      <c r="L8" s="5" t="n">
        <v>-24.07766990291262</v>
      </c>
      <c r="M8" s="5" t="n">
        <v>-24.85436893203883</v>
      </c>
    </row>
    <row r="9">
      <c r="A9" t="inlineStr">
        <is>
          <t>C5</t>
        </is>
      </c>
      <c r="B9" s="4" t="n">
        <v>0.7757871104931219</v>
      </c>
      <c r="C9" s="4" t="n">
        <v>0.736880583068628</v>
      </c>
      <c r="D9" s="4" t="n">
        <v>0.7998713814321398</v>
      </c>
      <c r="E9" s="4" t="n">
        <v>0.6373666644456693</v>
      </c>
      <c r="F9" s="4" t="n">
        <v>0.6333957221741113</v>
      </c>
      <c r="G9" s="4" t="n">
        <v>0.5545895787114719</v>
      </c>
      <c r="H9" s="4" t="n">
        <v>0.5545895787114719</v>
      </c>
      <c r="I9" s="4" t="n">
        <v>0.5833878278764975</v>
      </c>
      <c r="J9" s="4" t="n">
        <v>0.4598112573391167</v>
      </c>
      <c r="K9" s="4" t="n">
        <v>0.6897139778397245</v>
      </c>
      <c r="L9" s="5" t="n">
        <v>-2.815533980582524</v>
      </c>
      <c r="M9" s="5" t="n">
        <v>-14.27184466019417</v>
      </c>
    </row>
    <row r="10">
      <c r="A10" t="inlineStr">
        <is>
          <t>Total</t>
        </is>
      </c>
      <c r="B10" s="4" t="n">
        <v>0.8079344935896987</v>
      </c>
      <c r="C10" s="4" t="n">
        <v>0.7794188575497996</v>
      </c>
      <c r="D10" s="4" t="n">
        <v>0.8435767794752403</v>
      </c>
      <c r="E10" s="4" t="n">
        <v>0.6934594636797549</v>
      </c>
      <c r="F10" s="4" t="n">
        <v>0.6865874293610683</v>
      </c>
      <c r="G10" s="4" t="n">
        <v>0.4942746860365522</v>
      </c>
      <c r="H10" s="4" t="n">
        <v>0.4942746860365522</v>
      </c>
      <c r="I10" s="4" t="n">
        <v>0.5341257472813021</v>
      </c>
      <c r="J10" s="4" t="n">
        <v>0.4917749418820247</v>
      </c>
      <c r="K10" s="4" t="n">
        <v>0.6021684153582216</v>
      </c>
      <c r="L10" s="5" t="n">
        <v>-59.41747572815534</v>
      </c>
      <c r="M10" s="5" t="n">
        <v>-74.75728155339806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Distribuição da nota final por faixa: Enem oficial, USP e Arara</t>
        </is>
      </c>
    </row>
    <row r="2" ht="30" customHeight="1">
      <c r="A2" s="2" t="inlineStr">
        <is>
          <t>Percentual de redações em cada faixa de 100 pontos (0 e 1000 à parte). Enem: nota final com as zeradas (como no Excel oficial de distribuição). USP: média dos dois anotadores. Arara: nota consolidada do corretor. As colunas 'n' trazem as contagens.</t>
        </is>
      </c>
    </row>
    <row r="4" ht="90" customHeight="1">
      <c r="A4" s="3" t="inlineStr">
        <is>
          <t>Faixa</t>
        </is>
      </c>
      <c r="B4" s="3" t="inlineStr">
        <is>
          <t>% Enem oficial 2019–2024 (17,5 milhões)</t>
        </is>
      </c>
      <c r="C4" s="3" t="inlineStr">
        <is>
          <t>% USP: média dos dois anotadores (385)</t>
        </is>
      </c>
      <c r="D4" s="3" t="inlineStr">
        <is>
          <t>% Arara, produção atual (206 da reserva)</t>
        </is>
      </c>
      <c r="E4" s="3" t="inlineStr">
        <is>
          <t>% USP: média dos dois anotadores nas mesmas 206</t>
        </is>
      </c>
      <c r="F4" s="3" t="inlineStr">
        <is>
          <t>% Arara, régua anterior B0 (206)</t>
        </is>
      </c>
      <c r="G4" s="3" t="inlineStr">
        <is>
          <t>% Arara, bancada de julho antes das correções (385)</t>
        </is>
      </c>
      <c r="H4" s="3" t="inlineStr">
        <is>
          <t>% Enem 2019</t>
        </is>
      </c>
      <c r="I4" s="3" t="inlineStr">
        <is>
          <t>% Enem 2020</t>
        </is>
      </c>
      <c r="J4" s="3" t="inlineStr">
        <is>
          <t>% Enem 2021</t>
        </is>
      </c>
      <c r="K4" s="3" t="inlineStr">
        <is>
          <t>% Enem 2022</t>
        </is>
      </c>
      <c r="L4" s="3" t="inlineStr">
        <is>
          <t>% Enem 2023</t>
        </is>
      </c>
      <c r="M4" s="3" t="inlineStr">
        <is>
          <t>% Enem 2024</t>
        </is>
      </c>
      <c r="N4" s="3" t="inlineStr">
        <is>
          <t>n Enem oficial 2019–2024 (17,5 milhões)</t>
        </is>
      </c>
      <c r="O4" s="3" t="inlineStr">
        <is>
          <t>n USP: média dos dois anotadores (385)</t>
        </is>
      </c>
      <c r="P4" s="3" t="inlineStr">
        <is>
          <t>n Arara, produção atual (206 da reserva)</t>
        </is>
      </c>
      <c r="Q4" s="3" t="inlineStr">
        <is>
          <t>n USP: média dos dois anotadores nas mesmas 206</t>
        </is>
      </c>
      <c r="R4" s="3" t="inlineStr">
        <is>
          <t>n Arara, régua anterior B0 (206)</t>
        </is>
      </c>
      <c r="S4" s="3" t="inlineStr">
        <is>
          <t>n Arara, bancada de julho antes das correções (385)</t>
        </is>
      </c>
      <c r="T4" s="3" t="inlineStr">
        <is>
          <t>n Enem 2019</t>
        </is>
      </c>
      <c r="U4" s="3" t="inlineStr">
        <is>
          <t>n Enem 2020</t>
        </is>
      </c>
      <c r="V4" s="3" t="inlineStr">
        <is>
          <t>n Enem 2021</t>
        </is>
      </c>
      <c r="W4" s="3" t="inlineStr">
        <is>
          <t>n Enem 2022</t>
        </is>
      </c>
      <c r="X4" s="3" t="inlineStr">
        <is>
          <t>n Enem 2023</t>
        </is>
      </c>
      <c r="Y4" s="3" t="inlineStr">
        <is>
          <t>n Enem 2024</t>
        </is>
      </c>
    </row>
    <row r="5">
      <c r="A5" t="inlineStr">
        <is>
          <t>0</t>
        </is>
      </c>
      <c r="B5" s="5" t="n">
        <v>4.153101961751521</v>
      </c>
      <c r="C5" s="5" t="n">
        <v>0.2597402597402597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3.663844742871184</v>
      </c>
      <c r="I5" s="5" t="n">
        <v>3.169867955652907</v>
      </c>
      <c r="J5" s="5" t="n">
        <v>3.556287706879349</v>
      </c>
      <c r="K5" s="5" t="n">
        <v>5.206738315950401</v>
      </c>
      <c r="L5" s="5" t="n">
        <v>4.174420923935474</v>
      </c>
      <c r="M5" s="5" t="n">
        <v>5.216141012104023</v>
      </c>
      <c r="N5" s="6" t="n">
        <v>728786</v>
      </c>
      <c r="O5" s="6" t="n">
        <v>1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143736</v>
      </c>
      <c r="U5" s="6" t="n">
        <v>87567</v>
      </c>
      <c r="V5" s="6" t="n">
        <v>84582</v>
      </c>
      <c r="W5" s="6" t="n">
        <v>129827</v>
      </c>
      <c r="X5" s="6" t="n">
        <v>117829</v>
      </c>
      <c r="Y5" s="6" t="n">
        <v>165245</v>
      </c>
    </row>
    <row r="6">
      <c r="A6" t="inlineStr">
        <is>
          <t>20 a 100</t>
        </is>
      </c>
      <c r="B6" s="5" t="n">
        <v>0.01193298925597869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0.2597402597402597</v>
      </c>
      <c r="H6" s="5" t="n">
        <v>0.0081823214953919</v>
      </c>
      <c r="I6" s="5" t="n">
        <v>0.009556626814808861</v>
      </c>
      <c r="J6" s="5" t="n">
        <v>0.01400113270424941</v>
      </c>
      <c r="K6" s="5" t="n">
        <v>0.009464828137169423</v>
      </c>
      <c r="L6" s="5" t="n">
        <v>0.01516309359702945</v>
      </c>
      <c r="M6" s="5" t="n">
        <v>0.01616184573328851</v>
      </c>
      <c r="N6" s="6" t="n">
        <v>2094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1</v>
      </c>
      <c r="T6" s="6" t="n">
        <v>321</v>
      </c>
      <c r="U6" s="6" t="n">
        <v>264</v>
      </c>
      <c r="V6" s="6" t="n">
        <v>333</v>
      </c>
      <c r="W6" s="6" t="n">
        <v>236</v>
      </c>
      <c r="X6" s="6" t="n">
        <v>428</v>
      </c>
      <c r="Y6" s="6" t="n">
        <v>512</v>
      </c>
    </row>
    <row r="7">
      <c r="A7" t="inlineStr">
        <is>
          <t>120 a 200</t>
        </is>
      </c>
      <c r="B7" s="5" t="n">
        <v>0.1159277939037127</v>
      </c>
      <c r="C7" s="5" t="n">
        <v>0.7792207792207793</v>
      </c>
      <c r="D7" s="5" t="n">
        <v>0.4854368932038835</v>
      </c>
      <c r="E7" s="5" t="n">
        <v>0</v>
      </c>
      <c r="F7" s="5" t="n">
        <v>0.4854368932038835</v>
      </c>
      <c r="G7" s="5" t="n">
        <v>1.558441558441559</v>
      </c>
      <c r="H7" s="5" t="n">
        <v>0.172516984052375</v>
      </c>
      <c r="I7" s="5" t="n">
        <v>0.1600011004600575</v>
      </c>
      <c r="J7" s="5" t="n">
        <v>0.04587157891992823</v>
      </c>
      <c r="K7" s="5" t="n">
        <v>0.04022551958297005</v>
      </c>
      <c r="L7" s="5" t="n">
        <v>0.145785350821907</v>
      </c>
      <c r="M7" s="5" t="n">
        <v>0.09299374517630458</v>
      </c>
      <c r="N7" s="6" t="n">
        <v>20343</v>
      </c>
      <c r="O7" s="6" t="n">
        <v>3</v>
      </c>
      <c r="P7" s="6" t="n">
        <v>1</v>
      </c>
      <c r="Q7" s="6" t="n">
        <v>0</v>
      </c>
      <c r="R7" s="6" t="n">
        <v>1</v>
      </c>
      <c r="S7" s="6" t="n">
        <v>6</v>
      </c>
      <c r="T7" s="6" t="n">
        <v>6768</v>
      </c>
      <c r="U7" s="6" t="n">
        <v>4420</v>
      </c>
      <c r="V7" s="6" t="n">
        <v>1091</v>
      </c>
      <c r="W7" s="6" t="n">
        <v>1003</v>
      </c>
      <c r="X7" s="6" t="n">
        <v>4115</v>
      </c>
      <c r="Y7" s="6" t="n">
        <v>2946</v>
      </c>
    </row>
    <row r="8">
      <c r="A8" t="inlineStr">
        <is>
          <t>220 a 300</t>
        </is>
      </c>
      <c r="B8" s="5" t="n">
        <v>2.12768503655575</v>
      </c>
      <c r="C8" s="5" t="n">
        <v>2.597402597402597</v>
      </c>
      <c r="D8" s="5" t="n">
        <v>0.970873786407767</v>
      </c>
      <c r="E8" s="5" t="n">
        <v>0.970873786407767</v>
      </c>
      <c r="F8" s="5" t="n">
        <v>0.4854368932038835</v>
      </c>
      <c r="G8" s="5" t="n">
        <v>2.337662337662338</v>
      </c>
      <c r="H8" s="5" t="n">
        <v>3.532341326688235</v>
      </c>
      <c r="I8" s="5" t="n">
        <v>3.727772245311371</v>
      </c>
      <c r="J8" s="5" t="n">
        <v>0.7205327662243907</v>
      </c>
      <c r="K8" s="5" t="n">
        <v>1.045342141505597</v>
      </c>
      <c r="L8" s="5" t="n">
        <v>2.01084586325653</v>
      </c>
      <c r="M8" s="5" t="n">
        <v>1.00534887648341</v>
      </c>
      <c r="N8" s="6" t="n">
        <v>373366</v>
      </c>
      <c r="O8" s="6" t="n">
        <v>10</v>
      </c>
      <c r="P8" s="6" t="n">
        <v>2</v>
      </c>
      <c r="Q8" s="6" t="n">
        <v>2</v>
      </c>
      <c r="R8" s="6" t="n">
        <v>1</v>
      </c>
      <c r="S8" s="6" t="n">
        <v>9</v>
      </c>
      <c r="T8" s="6" t="n">
        <v>138577</v>
      </c>
      <c r="U8" s="6" t="n">
        <v>102979</v>
      </c>
      <c r="V8" s="6" t="n">
        <v>17137</v>
      </c>
      <c r="W8" s="6" t="n">
        <v>26065</v>
      </c>
      <c r="X8" s="6" t="n">
        <v>56759</v>
      </c>
      <c r="Y8" s="6" t="n">
        <v>31849</v>
      </c>
    </row>
    <row r="9">
      <c r="A9" t="inlineStr">
        <is>
          <t>320 a 400</t>
        </is>
      </c>
      <c r="B9" s="5" t="n">
        <v>7.349040277656839</v>
      </c>
      <c r="C9" s="5" t="n">
        <v>9.61038961038961</v>
      </c>
      <c r="D9" s="5" t="n">
        <v>16.01941747572815</v>
      </c>
      <c r="E9" s="5" t="n">
        <v>2.427184466019417</v>
      </c>
      <c r="F9" s="5" t="n">
        <v>18.44660194174757</v>
      </c>
      <c r="G9" s="5" t="n">
        <v>33.50649350649351</v>
      </c>
      <c r="H9" s="5" t="n">
        <v>7.412112690704169</v>
      </c>
      <c r="I9" s="5" t="n">
        <v>13.64715268629902</v>
      </c>
      <c r="J9" s="5" t="n">
        <v>4.830811237401608</v>
      </c>
      <c r="K9" s="5" t="n">
        <v>5.55011907235059</v>
      </c>
      <c r="L9" s="5" t="n">
        <v>7.304962051524051</v>
      </c>
      <c r="M9" s="5" t="n">
        <v>5.124694006070162</v>
      </c>
      <c r="N9" s="6" t="n">
        <v>1289609</v>
      </c>
      <c r="O9" s="6" t="n">
        <v>37</v>
      </c>
      <c r="P9" s="6" t="n">
        <v>33</v>
      </c>
      <c r="Q9" s="6" t="n">
        <v>5</v>
      </c>
      <c r="R9" s="6" t="n">
        <v>38</v>
      </c>
      <c r="S9" s="6" t="n">
        <v>129</v>
      </c>
      <c r="T9" s="6" t="n">
        <v>290784</v>
      </c>
      <c r="U9" s="6" t="n">
        <v>377000</v>
      </c>
      <c r="V9" s="6" t="n">
        <v>114895</v>
      </c>
      <c r="W9" s="6" t="n">
        <v>138389</v>
      </c>
      <c r="X9" s="6" t="n">
        <v>206193</v>
      </c>
      <c r="Y9" s="6" t="n">
        <v>162348</v>
      </c>
    </row>
    <row r="10">
      <c r="A10" t="inlineStr">
        <is>
          <t>420 a 500</t>
        </is>
      </c>
      <c r="B10" s="5" t="n">
        <v>12.54344086776424</v>
      </c>
      <c r="C10" s="5" t="n">
        <v>13.76623376623377</v>
      </c>
      <c r="D10" s="5" t="n">
        <v>20.87378640776699</v>
      </c>
      <c r="E10" s="5" t="n">
        <v>17.96116504854369</v>
      </c>
      <c r="F10" s="5" t="n">
        <v>24.27184466019418</v>
      </c>
      <c r="G10" s="5" t="n">
        <v>17.66233766233766</v>
      </c>
      <c r="H10" s="5" t="n">
        <v>15.00410900381638</v>
      </c>
      <c r="I10" s="5" t="n">
        <v>13.03136564559177</v>
      </c>
      <c r="J10" s="5" t="n">
        <v>13.37406695905068</v>
      </c>
      <c r="K10" s="5" t="n">
        <v>9.673696039450688</v>
      </c>
      <c r="L10" s="5" t="n">
        <v>11.58899655393899</v>
      </c>
      <c r="M10" s="5" t="n">
        <v>11.55628788919035</v>
      </c>
      <c r="N10" s="6" t="n">
        <v>2201122</v>
      </c>
      <c r="O10" s="6" t="n">
        <v>53</v>
      </c>
      <c r="P10" s="6" t="n">
        <v>43</v>
      </c>
      <c r="Q10" s="6" t="n">
        <v>37</v>
      </c>
      <c r="R10" s="6" t="n">
        <v>50</v>
      </c>
      <c r="S10" s="6" t="n">
        <v>68</v>
      </c>
      <c r="T10" s="6" t="n">
        <v>588625</v>
      </c>
      <c r="U10" s="6" t="n">
        <v>359989</v>
      </c>
      <c r="V10" s="6" t="n">
        <v>318086</v>
      </c>
      <c r="W10" s="6" t="n">
        <v>241208</v>
      </c>
      <c r="X10" s="6" t="n">
        <v>327116</v>
      </c>
      <c r="Y10" s="6" t="n">
        <v>366098</v>
      </c>
    </row>
    <row r="11">
      <c r="A11" t="inlineStr">
        <is>
          <t>520 a 600</t>
        </is>
      </c>
      <c r="B11" s="5" t="n">
        <v>25.96010985188505</v>
      </c>
      <c r="C11" s="5" t="n">
        <v>22.33766233766234</v>
      </c>
      <c r="D11" s="5" t="n">
        <v>29.12621359223301</v>
      </c>
      <c r="E11" s="5" t="n">
        <v>25.72815533980582</v>
      </c>
      <c r="F11" s="5" t="n">
        <v>32.03883495145631</v>
      </c>
      <c r="G11" s="5" t="n">
        <v>30.12987012987013</v>
      </c>
      <c r="H11" s="5" t="n">
        <v>30.5483786768192</v>
      </c>
      <c r="I11" s="5" t="n">
        <v>26.57987511950309</v>
      </c>
      <c r="J11" s="5" t="n">
        <v>28.46497551483595</v>
      </c>
      <c r="K11" s="5" t="n">
        <v>24.75690230612944</v>
      </c>
      <c r="L11" s="5" t="n">
        <v>23.17693027421463</v>
      </c>
      <c r="M11" s="5" t="n">
        <v>21.2839828848579</v>
      </c>
      <c r="N11" s="6" t="n">
        <v>4555478</v>
      </c>
      <c r="O11" s="6" t="n">
        <v>86</v>
      </c>
      <c r="P11" s="6" t="n">
        <v>60</v>
      </c>
      <c r="Q11" s="6" t="n">
        <v>53</v>
      </c>
      <c r="R11" s="6" t="n">
        <v>66</v>
      </c>
      <c r="S11" s="6" t="n">
        <v>116</v>
      </c>
      <c r="T11" s="6" t="n">
        <v>1198441</v>
      </c>
      <c r="U11" s="6" t="n">
        <v>734264</v>
      </c>
      <c r="V11" s="6" t="n">
        <v>677005</v>
      </c>
      <c r="W11" s="6" t="n">
        <v>617299</v>
      </c>
      <c r="X11" s="6" t="n">
        <v>654202</v>
      </c>
      <c r="Y11" s="6" t="n">
        <v>674267</v>
      </c>
    </row>
    <row r="12">
      <c r="A12" t="inlineStr">
        <is>
          <t>620 a 700</t>
        </is>
      </c>
      <c r="B12" s="5" t="n">
        <v>18.67764699231684</v>
      </c>
      <c r="C12" s="5" t="n">
        <v>29.87012987012987</v>
      </c>
      <c r="D12" s="5" t="n">
        <v>25.24271844660194</v>
      </c>
      <c r="E12" s="5" t="n">
        <v>36.40776699029126</v>
      </c>
      <c r="F12" s="5" t="n">
        <v>18.93203883495146</v>
      </c>
      <c r="G12" s="5" t="n">
        <v>10.38961038961039</v>
      </c>
      <c r="H12" s="5" t="n">
        <v>19.63385003461555</v>
      </c>
      <c r="I12" s="5" t="n">
        <v>15.98552171037556</v>
      </c>
      <c r="J12" s="5" t="n">
        <v>19.94946978593403</v>
      </c>
      <c r="K12" s="5" t="n">
        <v>19.78333564606676</v>
      </c>
      <c r="L12" s="5" t="n">
        <v>17.17645483328923</v>
      </c>
      <c r="M12" s="5" t="n">
        <v>19.35352617066846</v>
      </c>
      <c r="N12" s="6" t="n">
        <v>3277552</v>
      </c>
      <c r="O12" s="6" t="n">
        <v>115</v>
      </c>
      <c r="P12" s="6" t="n">
        <v>52</v>
      </c>
      <c r="Q12" s="6" t="n">
        <v>75</v>
      </c>
      <c r="R12" s="6" t="n">
        <v>39</v>
      </c>
      <c r="S12" s="6" t="n">
        <v>40</v>
      </c>
      <c r="T12" s="6" t="n">
        <v>770254</v>
      </c>
      <c r="U12" s="6" t="n">
        <v>441597</v>
      </c>
      <c r="V12" s="6" t="n">
        <v>474474</v>
      </c>
      <c r="W12" s="6" t="n">
        <v>493286</v>
      </c>
      <c r="X12" s="6" t="n">
        <v>484830</v>
      </c>
      <c r="Y12" s="6" t="n">
        <v>613111</v>
      </c>
    </row>
    <row r="13">
      <c r="A13" t="inlineStr">
        <is>
          <t>720 a 800</t>
        </is>
      </c>
      <c r="B13" s="5" t="n">
        <v>12.70000009117852</v>
      </c>
      <c r="C13" s="5" t="n">
        <v>14.02597402597403</v>
      </c>
      <c r="D13" s="5" t="n">
        <v>7.281553398058253</v>
      </c>
      <c r="E13" s="5" t="n">
        <v>15.53398058252427</v>
      </c>
      <c r="F13" s="5" t="n">
        <v>5.339805825242719</v>
      </c>
      <c r="G13" s="5" t="n">
        <v>4.155844155844155</v>
      </c>
      <c r="H13" s="5" t="n">
        <v>10.18286086586805</v>
      </c>
      <c r="I13" s="5" t="n">
        <v>10.03586992996513</v>
      </c>
      <c r="J13" s="5" t="n">
        <v>12.90626935404324</v>
      </c>
      <c r="K13" s="5" t="n">
        <v>15.00532196056696</v>
      </c>
      <c r="L13" s="5" t="n">
        <v>13.57497210947328</v>
      </c>
      <c r="M13" s="5" t="n">
        <v>15.39134867761695</v>
      </c>
      <c r="N13" s="6" t="n">
        <v>2228595</v>
      </c>
      <c r="O13" s="6" t="n">
        <v>54</v>
      </c>
      <c r="P13" s="6" t="n">
        <v>15</v>
      </c>
      <c r="Q13" s="6" t="n">
        <v>32</v>
      </c>
      <c r="R13" s="6" t="n">
        <v>11</v>
      </c>
      <c r="S13" s="6" t="n">
        <v>16</v>
      </c>
      <c r="T13" s="6" t="n">
        <v>399483</v>
      </c>
      <c r="U13" s="6" t="n">
        <v>277239</v>
      </c>
      <c r="V13" s="6" t="n">
        <v>306960</v>
      </c>
      <c r="W13" s="6" t="n">
        <v>374149</v>
      </c>
      <c r="X13" s="6" t="n">
        <v>383173</v>
      </c>
      <c r="Y13" s="6" t="n">
        <v>487591</v>
      </c>
    </row>
    <row r="14">
      <c r="A14" t="inlineStr">
        <is>
          <t>820 a 900</t>
        </is>
      </c>
      <c r="B14" s="5" t="n">
        <v>11.0906022751777</v>
      </c>
      <c r="C14" s="5" t="n">
        <v>5.974025974025974</v>
      </c>
      <c r="D14" s="5" t="n">
        <v>0</v>
      </c>
      <c r="E14" s="5" t="n">
        <v>0.970873786407767</v>
      </c>
      <c r="F14" s="5" t="n">
        <v>0</v>
      </c>
      <c r="G14" s="5" t="n">
        <v>0</v>
      </c>
      <c r="H14" s="5" t="n">
        <v>6.585596259277121</v>
      </c>
      <c r="I14" s="5" t="n">
        <v>8.63904584321123</v>
      </c>
      <c r="J14" s="5" t="n">
        <v>11.46230268598907</v>
      </c>
      <c r="K14" s="5" t="n">
        <v>13.59381930680561</v>
      </c>
      <c r="L14" s="5" t="n">
        <v>13.23738071020671</v>
      </c>
      <c r="M14" s="5" t="n">
        <v>14.64515752275522</v>
      </c>
      <c r="N14" s="6" t="n">
        <v>1946178</v>
      </c>
      <c r="O14" s="6" t="n">
        <v>23</v>
      </c>
      <c r="P14" s="6" t="n">
        <v>0</v>
      </c>
      <c r="Q14" s="6" t="n">
        <v>2</v>
      </c>
      <c r="R14" s="6" t="n">
        <v>0</v>
      </c>
      <c r="S14" s="6" t="n">
        <v>0</v>
      </c>
      <c r="T14" s="6" t="n">
        <v>258359</v>
      </c>
      <c r="U14" s="6" t="n">
        <v>238652</v>
      </c>
      <c r="V14" s="6" t="n">
        <v>272617</v>
      </c>
      <c r="W14" s="6" t="n">
        <v>338954</v>
      </c>
      <c r="X14" s="6" t="n">
        <v>373644</v>
      </c>
      <c r="Y14" s="6" t="n">
        <v>463952</v>
      </c>
    </row>
    <row r="15">
      <c r="A15" t="inlineStr">
        <is>
          <t>920 a 980</t>
        </is>
      </c>
      <c r="B15" s="5" t="n">
        <v>5.269332240406766</v>
      </c>
      <c r="C15" s="5" t="n">
        <v>0.7792207792207793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3.254856118592172</v>
      </c>
      <c r="I15" s="5" t="n">
        <v>5.012957555183185</v>
      </c>
      <c r="J15" s="5" t="n">
        <v>4.674486278259268</v>
      </c>
      <c r="K15" s="5" t="n">
        <v>5.333751496926738</v>
      </c>
      <c r="L15" s="5" t="n">
        <v>7.591962568415489</v>
      </c>
      <c r="M15" s="5" t="n">
        <v>6.313978576084572</v>
      </c>
      <c r="N15" s="6" t="n">
        <v>924662</v>
      </c>
      <c r="O15" s="6" t="n">
        <v>3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127691</v>
      </c>
      <c r="U15" s="6" t="n">
        <v>138482</v>
      </c>
      <c r="V15" s="6" t="n">
        <v>111177</v>
      </c>
      <c r="W15" s="6" t="n">
        <v>132994</v>
      </c>
      <c r="X15" s="6" t="n">
        <v>214294</v>
      </c>
      <c r="Y15" s="6" t="n">
        <v>200024</v>
      </c>
    </row>
    <row r="16">
      <c r="A16" t="inlineStr">
        <is>
          <t>1000</t>
        </is>
      </c>
      <c r="B16" s="5" t="n">
        <v>0.001179622147080988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0.001350975200173741</v>
      </c>
      <c r="I16" s="5" t="n">
        <v>0.001013581631873667</v>
      </c>
      <c r="J16" s="5" t="n">
        <v>0.0009249997582386995</v>
      </c>
      <c r="K16" s="5" t="n">
        <v>0.00128336652707382</v>
      </c>
      <c r="L16" s="5" t="n">
        <v>0.002125667326686371</v>
      </c>
      <c r="M16" s="5" t="n">
        <v>0.0003787932593739494</v>
      </c>
      <c r="N16" s="6" t="n">
        <v>207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53</v>
      </c>
      <c r="U16" s="6" t="n">
        <v>28</v>
      </c>
      <c r="V16" s="6" t="n">
        <v>22</v>
      </c>
      <c r="W16" s="6" t="n">
        <v>32</v>
      </c>
      <c r="X16" s="6" t="n">
        <v>60</v>
      </c>
      <c r="Y16" s="6" t="n">
        <v>12</v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Média, mediana e desvio-padrão da nota final por fonte</t>
        </is>
      </c>
    </row>
    <row r="3">
      <c r="A3" s="3" t="inlineStr">
        <is>
          <t>fonte</t>
        </is>
      </c>
      <c r="B3" s="3" t="inlineStr">
        <is>
          <t>n</t>
        </is>
      </c>
      <c r="C3" s="3" t="inlineStr">
        <is>
          <t>media</t>
        </is>
      </c>
      <c r="D3" s="3" t="inlineStr">
        <is>
          <t>mediana</t>
        </is>
      </c>
      <c r="E3" s="3" t="inlineStr">
        <is>
          <t>dp</t>
        </is>
      </c>
    </row>
    <row r="4">
      <c r="A4" t="inlineStr">
        <is>
          <t>Enem oficial 2019–2024, nota final com zeradas</t>
        </is>
      </c>
      <c r="B4" s="6" t="n">
        <v>17547992</v>
      </c>
      <c r="C4" s="5" t="n">
        <v>600.8569527499214</v>
      </c>
      <c r="D4" s="7" t="n">
        <v>600</v>
      </c>
      <c r="E4" s="5" t="n">
        <v>205.234788891033</v>
      </c>
    </row>
    <row r="5">
      <c r="A5" t="inlineStr">
        <is>
          <t>USP, média dos dois anotadores (385)</t>
        </is>
      </c>
      <c r="B5" s="6" t="n">
        <v>385</v>
      </c>
      <c r="C5" s="5" t="n">
        <v>595.2727272727273</v>
      </c>
      <c r="D5" s="7" t="n">
        <v>620</v>
      </c>
      <c r="E5" s="5" t="n">
        <v>150.3916649703766</v>
      </c>
    </row>
    <row r="6">
      <c r="A6" t="inlineStr">
        <is>
          <t>USP, média dos dois anotadores (206 da reserva)</t>
        </is>
      </c>
      <c r="B6" s="6" t="n">
        <v>206</v>
      </c>
      <c r="C6" s="5" t="n">
        <v>602.4271844660194</v>
      </c>
      <c r="D6" s="7" t="n">
        <v>620</v>
      </c>
      <c r="E6" s="5" t="n">
        <v>110.9882003648501</v>
      </c>
    </row>
    <row r="7">
      <c r="A7" t="inlineStr">
        <is>
          <t>Arara, produção atual NOVO (206)</t>
        </is>
      </c>
      <c r="B7" s="6" t="n">
        <v>206</v>
      </c>
      <c r="C7" s="5" t="n">
        <v>543.0097087378641</v>
      </c>
      <c r="D7" s="7" t="n">
        <v>540</v>
      </c>
      <c r="E7" s="5" t="n">
        <v>118.537487016009</v>
      </c>
    </row>
    <row r="8">
      <c r="A8" t="inlineStr">
        <is>
          <t>Arara, régua anterior B0 (206)</t>
        </is>
      </c>
      <c r="B8" s="6" t="n">
        <v>206</v>
      </c>
      <c r="C8" s="5" t="n">
        <v>527.6699029126214</v>
      </c>
      <c r="D8" s="7" t="n">
        <v>540</v>
      </c>
      <c r="E8" s="5" t="n">
        <v>111.6226643260799</v>
      </c>
    </row>
    <row r="9">
      <c r="A9" t="inlineStr">
        <is>
          <t>Arara, bancada de julho antes das correções (385)</t>
        </is>
      </c>
      <c r="B9" s="6" t="n">
        <v>385</v>
      </c>
      <c r="C9" s="5" t="n">
        <v>482.3896103896104</v>
      </c>
      <c r="D9" s="7" t="n">
        <v>480</v>
      </c>
      <c r="E9" s="5" t="n">
        <v>123.1554983554242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Reserva (206 redações): intervalos de 95 % por bootstrap de redações (2.000 réplicas) e diferença pareada corretor − anotadores</t>
        </is>
      </c>
    </row>
    <row r="2" ht="30" customHeight="1">
      <c r="A2" s="2" t="inlineStr">
        <is>
          <t>NOVO = produção atual (QWK justo); A×B = anotadores entre si nas mesmas 206 (grade de 20, como a análise oficial). A diferença é calculada nas mesmas reamostras (pareada). Nenhuma diferença tem intervalo que exclua o zero.</t>
        </is>
      </c>
    </row>
    <row r="4" ht="45" customHeight="1">
      <c r="A4" s="3" t="inlineStr">
        <is>
          <t>Medida</t>
        </is>
      </c>
      <c r="B4" s="3" t="inlineStr">
        <is>
          <t>NOVO justo</t>
        </is>
      </c>
      <c r="C4" s="3" t="inlineStr">
        <is>
          <t>NOVO IC inf</t>
        </is>
      </c>
      <c r="D4" s="3" t="inlineStr">
        <is>
          <t>NOVO IC sup</t>
        </is>
      </c>
      <c r="E4" s="3" t="inlineStr">
        <is>
          <t>A×B</t>
        </is>
      </c>
      <c r="F4" s="3" t="inlineStr">
        <is>
          <t>A×B IC inf</t>
        </is>
      </c>
      <c r="G4" s="3" t="inlineStr">
        <is>
          <t>A×B IC sup</t>
        </is>
      </c>
      <c r="H4" s="3" t="inlineStr">
        <is>
          <t>NOVO − A×B</t>
        </is>
      </c>
      <c r="I4" s="3" t="inlineStr">
        <is>
          <t>dif IC inf</t>
        </is>
      </c>
      <c r="J4" s="3" t="inlineStr">
        <is>
          <t>dif IC sup</t>
        </is>
      </c>
      <c r="K4" s="3" t="inlineStr">
        <is>
          <t>% réplicas com dif &gt; 0</t>
        </is>
      </c>
      <c r="L4" s="3" t="inlineStr">
        <is>
          <t>B0 IC inf</t>
        </is>
      </c>
      <c r="M4" s="3" t="inlineStr">
        <is>
          <t>B0 IC sup</t>
        </is>
      </c>
    </row>
    <row r="5">
      <c r="A5" t="inlineStr">
        <is>
          <t>C1</t>
        </is>
      </c>
      <c r="B5" s="4" t="n">
        <v>0.5016835731845796</v>
      </c>
      <c r="C5" s="4" t="n">
        <v>0.4068145114002266</v>
      </c>
      <c r="D5" s="4" t="n">
        <v>0.5849366736036746</v>
      </c>
      <c r="E5" s="4" t="n">
        <v>0.501415654397662</v>
      </c>
      <c r="F5" s="4" t="n">
        <v>0.3929230854070053</v>
      </c>
      <c r="G5" s="4" t="n">
        <v>0.5924632020223672</v>
      </c>
      <c r="H5" s="4" t="n">
        <v>0.0002679187869175648</v>
      </c>
      <c r="I5" s="4" t="n">
        <v>-0.09940420331584039</v>
      </c>
      <c r="J5" s="4" t="n">
        <v>0.09902933932620535</v>
      </c>
      <c r="K5" s="5" t="n">
        <v>53.1</v>
      </c>
      <c r="L5" s="4" t="n">
        <v>0.4553770484073802</v>
      </c>
      <c r="M5" s="4" t="n">
        <v>0.612717881631699</v>
      </c>
    </row>
    <row r="6">
      <c r="A6" t="inlineStr">
        <is>
          <t>C2</t>
        </is>
      </c>
      <c r="B6" s="4" t="n">
        <v>0.3454076873751041</v>
      </c>
      <c r="C6" s="4" t="n">
        <v>0.2670345883093529</v>
      </c>
      <c r="D6" s="4" t="n">
        <v>0.417747917749058</v>
      </c>
      <c r="E6" s="4" t="n">
        <v>0.3783783783783784</v>
      </c>
      <c r="F6" s="4" t="n">
        <v>0.2503083168955151</v>
      </c>
      <c r="G6" s="4" t="n">
        <v>0.4864741506371635</v>
      </c>
      <c r="H6" s="4" t="n">
        <v>-0.03297069100327427</v>
      </c>
      <c r="I6" s="4" t="n">
        <v>-0.1506530375688163</v>
      </c>
      <c r="J6" s="4" t="n">
        <v>0.08429671983716638</v>
      </c>
      <c r="K6" s="5" t="n">
        <v>31.45</v>
      </c>
      <c r="L6" s="4" t="n">
        <v>0.2914320298202994</v>
      </c>
      <c r="M6" s="4" t="n">
        <v>0.4276644705639843</v>
      </c>
    </row>
    <row r="7">
      <c r="A7" t="inlineStr">
        <is>
          <t>C3</t>
        </is>
      </c>
      <c r="B7" s="4" t="n">
        <v>0.3746674002313529</v>
      </c>
      <c r="C7" s="4" t="n">
        <v>0.3001229662447324</v>
      </c>
      <c r="D7" s="4" t="n">
        <v>0.4450990045778866</v>
      </c>
      <c r="E7" s="4" t="n">
        <v>0.4236502732240437</v>
      </c>
      <c r="F7" s="4" t="n">
        <v>0.2751862329616573</v>
      </c>
      <c r="G7" s="4" t="n">
        <v>0.5516836809825435</v>
      </c>
      <c r="H7" s="4" t="n">
        <v>-0.04898287299269077</v>
      </c>
      <c r="I7" s="4" t="n">
        <v>-0.1771416481152005</v>
      </c>
      <c r="J7" s="4" t="n">
        <v>0.07990644911174548</v>
      </c>
      <c r="K7" s="5" t="n">
        <v>23.7</v>
      </c>
      <c r="L7" s="4" t="n">
        <v>0.3136125537141742</v>
      </c>
      <c r="M7" s="4" t="n">
        <v>0.4579680380407292</v>
      </c>
    </row>
    <row r="8">
      <c r="A8" t="inlineStr">
        <is>
          <t>C4</t>
        </is>
      </c>
      <c r="B8" s="4" t="n">
        <v>0.3200504743788572</v>
      </c>
      <c r="C8" s="4" t="n">
        <v>0.2542063545604764</v>
      </c>
      <c r="D8" s="4" t="n">
        <v>0.3824432884957397</v>
      </c>
      <c r="E8" s="4" t="n">
        <v>0.3969117570858592</v>
      </c>
      <c r="F8" s="4" t="n">
        <v>0.2800745087323929</v>
      </c>
      <c r="G8" s="4" t="n">
        <v>0.5014932956186868</v>
      </c>
      <c r="H8" s="4" t="n">
        <v>-0.07686128270700204</v>
      </c>
      <c r="I8" s="4" t="n">
        <v>-0.176343484836325</v>
      </c>
      <c r="J8" s="4" t="n">
        <v>0.0250513695982371</v>
      </c>
      <c r="K8" s="5" t="n">
        <v>7.399999999999999</v>
      </c>
      <c r="L8" s="4" t="n">
        <v>0.2693626454343407</v>
      </c>
      <c r="M8" s="4" t="n">
        <v>0.3899791556648362</v>
      </c>
    </row>
    <row r="9">
      <c r="A9" t="inlineStr">
        <is>
          <t>C5</t>
        </is>
      </c>
      <c r="B9" s="4" t="n">
        <v>0.5833878278764975</v>
      </c>
      <c r="C9" s="4" t="n">
        <v>0.521142763266758</v>
      </c>
      <c r="D9" s="4" t="n">
        <v>0.633624014536596</v>
      </c>
      <c r="E9" s="4" t="n">
        <v>0.5545895787114719</v>
      </c>
      <c r="F9" s="4" t="n">
        <v>0.4561522776119874</v>
      </c>
      <c r="G9" s="4" t="n">
        <v>0.6488177389389042</v>
      </c>
      <c r="H9" s="4" t="n">
        <v>0.0287982491650256</v>
      </c>
      <c r="I9" s="4" t="n">
        <v>-0.06000351848565096</v>
      </c>
      <c r="J9" s="4" t="n">
        <v>0.1152020779034547</v>
      </c>
      <c r="K9" s="5" t="n">
        <v>74.8</v>
      </c>
      <c r="L9" s="4" t="n">
        <v>0.3913119867980795</v>
      </c>
      <c r="M9" s="4" t="n">
        <v>0.5247972482382871</v>
      </c>
    </row>
    <row r="10">
      <c r="A10" t="inlineStr">
        <is>
          <t>Total</t>
        </is>
      </c>
      <c r="B10" s="4" t="n">
        <v>0.5341257472813021</v>
      </c>
      <c r="C10" s="4" t="n">
        <v>0.467337395286315</v>
      </c>
      <c r="D10" s="4" t="n">
        <v>0.5923275776768342</v>
      </c>
      <c r="E10" s="4" t="n">
        <v>0.4942746860365522</v>
      </c>
      <c r="F10" s="4" t="n">
        <v>0.367270863968047</v>
      </c>
      <c r="G10" s="4" t="n">
        <v>0.5997006480984001</v>
      </c>
      <c r="H10" s="4" t="n">
        <v>0.03985106124474991</v>
      </c>
      <c r="I10" s="4" t="n">
        <v>-0.05918520921363606</v>
      </c>
      <c r="J10" s="4" t="n">
        <v>0.1432857629721676</v>
      </c>
      <c r="K10" s="5" t="n">
        <v>78.05</v>
      </c>
      <c r="L10" s="4" t="n">
        <v>0.4223978939091896</v>
      </c>
      <c r="M10" s="4" t="n">
        <v>0.5526322896082357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Recálculos deste script contra os números já publicados nas fontes</t>
        </is>
      </c>
    </row>
    <row r="3">
      <c r="A3" s="3" t="inlineStr">
        <is>
          <t>conferência</t>
        </is>
      </c>
      <c r="B3" s="3" t="inlineStr">
        <is>
          <t>recalculado aqui</t>
        </is>
      </c>
      <c r="C3" s="3" t="inlineStr">
        <is>
          <t>publicado</t>
        </is>
      </c>
      <c r="D3" s="3" t="inlineStr">
        <is>
          <t>diferenca</t>
        </is>
      </c>
    </row>
    <row r="4">
      <c r="A4" t="inlineStr">
        <is>
          <t>reserva 206: humano A×B total (grade 20)</t>
        </is>
      </c>
      <c r="B4" s="8" t="n">
        <v>0.4942746860365522</v>
      </c>
      <c r="C4" s="8" t="n">
        <v>0.4942746860365521</v>
      </c>
      <c r="D4" s="8" t="n">
        <v>1.110223024625156e-16</v>
      </c>
    </row>
    <row r="5">
      <c r="A5" t="inlineStr">
        <is>
          <t>reserva 206: NOVO QWK justo total</t>
        </is>
      </c>
      <c r="B5" s="8" t="n">
        <v>0.5341257472813021</v>
      </c>
      <c r="C5" s="8" t="n">
        <v>0.5341257472813019</v>
      </c>
      <c r="D5" s="8" t="n">
        <v>2.220446049250313e-16</v>
      </c>
    </row>
    <row r="6">
      <c r="A6" t="inlineStr">
        <is>
          <t>reserva 206: B0 QWK justo total</t>
        </is>
      </c>
      <c r="B6" s="8" t="n">
        <v>0.4917749418820247</v>
      </c>
      <c r="C6" s="8" t="n">
        <v>0.4917749418820248</v>
      </c>
      <c r="D6" s="8" t="n">
        <v>-1.110223024625156e-16</v>
      </c>
    </row>
    <row r="7">
      <c r="A7" t="inlineStr">
        <is>
          <t>reserva 206: NOVO viés total</t>
        </is>
      </c>
      <c r="B7" s="8" t="n">
        <v>-59.41747572815534</v>
      </c>
      <c r="C7" s="8" t="n">
        <v>-59.41747572815534</v>
      </c>
      <c r="D7" s="8" t="n">
        <v>0</v>
      </c>
    </row>
    <row r="8">
      <c r="A8" t="inlineStr">
        <is>
          <t>reserva 206: NOVO QWK justo C5</t>
        </is>
      </c>
      <c r="B8" s="8" t="n">
        <v>0.5833878278764975</v>
      </c>
      <c r="C8" s="8" t="n">
        <v>0.5833878278764976</v>
      </c>
      <c r="D8" s="8" t="n">
        <v>-1.110223024625156e-16</v>
      </c>
    </row>
    <row r="9">
      <c r="A9" t="inlineStr">
        <is>
          <t>julho 385: worker × média dos peritos, total (publicado 0,493)</t>
        </is>
      </c>
      <c r="B9" s="8" t="n">
        <v>0.4927903047740748</v>
      </c>
      <c r="C9" s="8" t="n">
        <v>0.493</v>
      </c>
      <c r="D9" s="8" t="n">
        <v>-0.0002096952259251</v>
      </c>
    </row>
    <row r="10">
      <c r="A10" t="inlineStr">
        <is>
          <t>julho 385: viés total (publicado −112,9)</t>
        </is>
      </c>
      <c r="B10" s="8" t="n">
        <v>-112.8831168831169</v>
      </c>
      <c r="C10" s="8" t="n">
        <v>-112.9</v>
      </c>
      <c r="D10" s="8" t="n">
        <v>0.0168831168831218</v>
      </c>
    </row>
    <row r="11">
      <c r="A11" t="inlineStr">
        <is>
          <t>USP 385: A×B total, população A (artigo 0,69)</t>
        </is>
      </c>
      <c r="B11" s="8" t="n">
        <v>0.6934594636797549</v>
      </c>
      <c r="C11" s="8" t="n">
        <v>0.6935</v>
      </c>
      <c r="D11" s="8" t="n">
        <v>-4.053632024514364e-05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Fontes</t>
        </is>
      </c>
    </row>
    <row r="2" ht="45" customHeight="1">
      <c r="A2" s="2" t="inlineStr">
        <is>
          <t>Enem: D:\Documents\Doutorado\Pesquisa Autoria\diagnostico-enem-redacao\microdados-enem\qwk-enem\out\qwk_resumo.csv (QWK) e D:\Documents\Doutorado\Pesquisa Autoria\diagnostico-enem-redacao\microdados-enem\RESULTADOS_QWK_2019-2024\DISTRIBUICAO_NOTA_REDACAO_2019-2024.xlsx (faixas; zeradas de 2019 e 2020 pelo número oficial do Inep).</t>
        </is>
      </c>
    </row>
    <row r="3" ht="45" customHeight="1">
      <c r="A3" s="2" t="inlineStr">
        <is>
          <t>USP: D:\Documents\Doutorado\Pesquisa Autoria\diagnostico-enem-redacao\Teste Dataset-USP\COMPETENCIAS_REDACAO_USP\DADOS\COMPETENCIAS_REDACAO_USP.csv e D:\Documents\Doutorado\Pesquisa Autoria\diagnostico-enem-redacao\Teste Dataset-USP\COMPETENCIAS_REDACAO_USP\RESULTADOS_QWK\qwk_resumo_usp.csv.</t>
        </is>
      </c>
    </row>
    <row r="4" ht="45" customHeight="1">
      <c r="A4" s="2" t="inlineStr">
        <is>
          <t>Arara, outubro: D:\programas\carcara-sandbox\runs\run_20261014_confirmacao\resultados-reserva.jsonl (braços B0 e NOVO) e D:\programas\carcara-sandbox\gold\reserva.jsonl (notas dos anotadores); análise oficial em D:\programas\carcara-sandbox\runs\run_20261014_confirmacao\analise-reserva.json.</t>
        </is>
      </c>
    </row>
    <row r="5" ht="30" customHeight="1">
      <c r="A5" s="2" t="inlineStr">
        <is>
          <t>Arara, julho: C:\Users\Carlos\Documents\Startup-cordel2pontozero\Protótipo\Ecossistema software\Arara\Bancada-Evidencias-ENEM\resultados\rodada-1 (modo padrão), com a referência humana gravada em cada arquivo.</t>
        </is>
      </c>
    </row>
    <row r="6" ht="15" customHeight="1">
      <c r="A6" s="2" t="inlineStr">
        <is>
          <t>Gerado por gerar_dados_publicacao.py. Nenhum texto de redação é lido para a saída.</t>
        </is>
      </c>
    </row>
  </sheetData>
  <mergeCells count="6">
    <mergeCell ref="A6"/>
    <mergeCell ref="A4"/>
    <mergeCell ref="A3"/>
    <mergeCell ref="A2"/>
    <mergeCell ref="A5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.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9" t="inlineStr">
        <is>
          <t>Tabela 1. QWK entre AV1 e AV2, população B, por competência e edição.  [Fonte: qwk-enem/out/qwk_resumo.csv (populacao B)]</t>
        </is>
      </c>
    </row>
    <row r="3" ht="42" customHeight="1">
      <c r="A3" s="3" t="inlineStr">
        <is>
          <t>Medida</t>
        </is>
      </c>
      <c r="B3" s="3" t="inlineStr">
        <is>
          <t>2019</t>
        </is>
      </c>
      <c r="C3" s="3" t="inlineStr">
        <is>
          <t>2020</t>
        </is>
      </c>
      <c r="D3" s="3" t="inlineStr">
        <is>
          <t>2021</t>
        </is>
      </c>
      <c r="E3" s="3" t="inlineStr">
        <is>
          <t>2022</t>
        </is>
      </c>
      <c r="F3" s="3" t="inlineStr">
        <is>
          <t>2023</t>
        </is>
      </c>
      <c r="G3" s="3" t="inlineStr">
        <is>
          <t>2024</t>
        </is>
      </c>
      <c r="H3" s="3" t="inlineStr">
        <is>
          <t>Média</t>
        </is>
      </c>
      <c r="I3" s="3" t="inlineStr">
        <is>
          <t>Menor–maior</t>
        </is>
      </c>
    </row>
    <row r="4">
      <c r="A4" s="2" t="inlineStr">
        <is>
          <t>C1</t>
        </is>
      </c>
      <c r="B4" s="4" t="n">
        <v>0.501</v>
      </c>
      <c r="C4" s="4" t="n">
        <v>0.529</v>
      </c>
      <c r="D4" s="4" t="n">
        <v>0.529</v>
      </c>
      <c r="E4" s="4" t="n">
        <v>0.517</v>
      </c>
      <c r="F4" s="4" t="n">
        <v>0.491</v>
      </c>
      <c r="G4" s="4" t="n">
        <v>0.493</v>
      </c>
      <c r="H4" s="4" t="n">
        <v>0.51</v>
      </c>
      <c r="I4" s="2" t="inlineStr">
        <is>
          <t>0,491–0,529</t>
        </is>
      </c>
    </row>
    <row r="5">
      <c r="A5" s="2" t="inlineStr">
        <is>
          <t>C2</t>
        </is>
      </c>
      <c r="B5" s="4" t="n">
        <v>0.608</v>
      </c>
      <c r="C5" s="4" t="n">
        <v>0.655</v>
      </c>
      <c r="D5" s="4" t="n">
        <v>0.715</v>
      </c>
      <c r="E5" s="4" t="n">
        <v>0.725</v>
      </c>
      <c r="F5" s="4" t="n">
        <v>0.618</v>
      </c>
      <c r="G5" s="4" t="n">
        <v>0.549</v>
      </c>
      <c r="H5" s="4" t="n">
        <v>0.645</v>
      </c>
      <c r="I5" s="2" t="inlineStr">
        <is>
          <t>0,549–0,725</t>
        </is>
      </c>
    </row>
    <row r="6">
      <c r="A6" s="2" t="inlineStr">
        <is>
          <t>C3</t>
        </is>
      </c>
      <c r="B6" s="4" t="n">
        <v>0.5679999999999999</v>
      </c>
      <c r="C6" s="4" t="n">
        <v>0.611</v>
      </c>
      <c r="D6" s="4" t="n">
        <v>0.553</v>
      </c>
      <c r="E6" s="4" t="n">
        <v>0.596</v>
      </c>
      <c r="F6" s="4" t="n">
        <v>0.5580000000000001</v>
      </c>
      <c r="G6" s="4" t="n">
        <v>0.55</v>
      </c>
      <c r="H6" s="4" t="n">
        <v>0.573</v>
      </c>
      <c r="I6" s="2" t="inlineStr">
        <is>
          <t>0,550–0,611</t>
        </is>
      </c>
    </row>
    <row r="7">
      <c r="A7" s="2" t="inlineStr">
        <is>
          <t>C4</t>
        </is>
      </c>
      <c r="B7" s="4" t="n">
        <v>0.585</v>
      </c>
      <c r="C7" s="4" t="n">
        <v>0.625</v>
      </c>
      <c r="D7" s="4" t="n">
        <v>0.639</v>
      </c>
      <c r="E7" s="4" t="n">
        <v>0.642</v>
      </c>
      <c r="F7" s="4" t="n">
        <v>0.613</v>
      </c>
      <c r="G7" s="4" t="n">
        <v>0.619</v>
      </c>
      <c r="H7" s="4" t="n">
        <v>0.621</v>
      </c>
      <c r="I7" s="2" t="inlineStr">
        <is>
          <t>0,585–0,642</t>
        </is>
      </c>
    </row>
    <row r="8">
      <c r="A8" s="2" t="inlineStr">
        <is>
          <t>C5</t>
        </is>
      </c>
      <c r="B8" s="4" t="n">
        <v>0.788</v>
      </c>
      <c r="C8" s="4" t="n">
        <v>0.737</v>
      </c>
      <c r="D8" s="4" t="n">
        <v>0.8</v>
      </c>
      <c r="E8" s="4" t="n">
        <v>0.795</v>
      </c>
      <c r="F8" s="4" t="n">
        <v>0.756</v>
      </c>
      <c r="G8" s="4" t="n">
        <v>0.779</v>
      </c>
      <c r="H8" s="4" t="n">
        <v>0.776</v>
      </c>
      <c r="I8" s="2" t="inlineStr">
        <is>
          <t>0,737–0,800</t>
        </is>
      </c>
    </row>
    <row r="9">
      <c r="A9" s="2" t="inlineStr">
        <is>
          <t>Total</t>
        </is>
      </c>
      <c r="B9" s="4" t="n">
        <v>0.801</v>
      </c>
      <c r="C9" s="4" t="n">
        <v>0.79</v>
      </c>
      <c r="D9" s="4" t="n">
        <v>0.84</v>
      </c>
      <c r="E9" s="4" t="n">
        <v>0.844</v>
      </c>
      <c r="F9" s="4" t="n">
        <v>0.779</v>
      </c>
      <c r="G9" s="4" t="n">
        <v>0.794</v>
      </c>
      <c r="H9" s="4" t="n">
        <v>0.8080000000000001</v>
      </c>
      <c r="I9" s="2" t="inlineStr">
        <is>
          <t>0,779–0,844</t>
        </is>
      </c>
    </row>
    <row r="10">
      <c r="A10" s="2" t="inlineStr">
        <is>
          <t>Provas (milhões)</t>
        </is>
      </c>
      <c r="B10" s="5" t="n">
        <v>3.76</v>
      </c>
      <c r="C10" s="5" t="n">
        <v>2.66</v>
      </c>
      <c r="D10" s="5" t="n">
        <v>2.28</v>
      </c>
      <c r="E10" s="5" t="n">
        <v>2.34</v>
      </c>
      <c r="F10" s="5" t="n">
        <v>2.67</v>
      </c>
      <c r="G10" s="5" t="n">
        <v>2.98</v>
      </c>
      <c r="H10" s="2" t="n"/>
      <c r="I1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.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9" t="inlineStr">
        <is>
          <t>Tabela 2. Outras medidas, população B.  [Fonte: qwk-enem/out/qwk_resumo.csv e terceiro_vs_regra_resumo.csv]</t>
        </is>
      </c>
    </row>
    <row r="3" ht="42" customHeight="1">
      <c r="A3" s="3" t="inlineStr">
        <is>
          <t>Medida</t>
        </is>
      </c>
      <c r="B3" s="3" t="inlineStr">
        <is>
          <t>2019</t>
        </is>
      </c>
      <c r="C3" s="3" t="inlineStr">
        <is>
          <t>2020</t>
        </is>
      </c>
      <c r="D3" s="3" t="inlineStr">
        <is>
          <t>2021</t>
        </is>
      </c>
      <c r="E3" s="3" t="inlineStr">
        <is>
          <t>2022</t>
        </is>
      </c>
      <c r="F3" s="3" t="inlineStr">
        <is>
          <t>2023</t>
        </is>
      </c>
      <c r="G3" s="3" t="inlineStr">
        <is>
          <t>2024</t>
        </is>
      </c>
    </row>
    <row r="4">
      <c r="A4" s="2" t="inlineStr">
        <is>
          <t>Notas totais iguais</t>
        </is>
      </c>
      <c r="B4" s="2" t="inlineStr">
        <is>
          <t>18,3 %</t>
        </is>
      </c>
      <c r="C4" s="2" t="inlineStr">
        <is>
          <t>18,1 %</t>
        </is>
      </c>
      <c r="D4" s="2" t="inlineStr">
        <is>
          <t>20,9 %</t>
        </is>
      </c>
      <c r="E4" s="2" t="inlineStr">
        <is>
          <t>20,8 %</t>
        </is>
      </c>
      <c r="F4" s="2" t="inlineStr">
        <is>
          <t>16,6 %</t>
        </is>
      </c>
      <c r="G4" s="2" t="inlineStr">
        <is>
          <t>16,7 %</t>
        </is>
      </c>
    </row>
    <row r="5">
      <c r="A5" s="2" t="inlineStr">
        <is>
          <t>Total: até 40 pontos de diferença</t>
        </is>
      </c>
      <c r="B5" s="2" t="inlineStr">
        <is>
          <t>49,2 %</t>
        </is>
      </c>
      <c r="C5" s="2" t="inlineStr">
        <is>
          <t>48,1 %</t>
        </is>
      </c>
      <c r="D5" s="2" t="inlineStr">
        <is>
          <t>55,5 %</t>
        </is>
      </c>
      <c r="E5" s="2" t="inlineStr">
        <is>
          <t>55,1 %</t>
        </is>
      </c>
      <c r="F5" s="2" t="inlineStr">
        <is>
          <t>45,2 %</t>
        </is>
      </c>
      <c r="G5" s="2" t="inlineStr">
        <is>
          <t>45,8 %</t>
        </is>
      </c>
    </row>
    <row r="6">
      <c r="A6" s="2" t="inlineStr">
        <is>
          <t>Total: acima de 100 pontos</t>
        </is>
      </c>
      <c r="B6" s="2" t="inlineStr">
        <is>
          <t>29,4 %</t>
        </is>
      </c>
      <c r="C6" s="2" t="inlineStr">
        <is>
          <t>31,6 %</t>
        </is>
      </c>
      <c r="D6" s="2" t="inlineStr">
        <is>
          <t>22,3 %</t>
        </is>
      </c>
      <c r="E6" s="2" t="inlineStr">
        <is>
          <t>22,9 %</t>
        </is>
      </c>
      <c r="F6" s="2" t="inlineStr">
        <is>
          <t>34,3 %</t>
        </is>
      </c>
      <c r="G6" s="2" t="inlineStr">
        <is>
          <t>32,7 %</t>
        </is>
      </c>
    </row>
    <row r="7">
      <c r="A7" s="2" t="inlineStr">
        <is>
          <t>Com terceiro avaliador (pop. A)</t>
        </is>
      </c>
      <c r="B7" s="2" t="inlineStr">
        <is>
          <t>30,2 %</t>
        </is>
      </c>
      <c r="C7" s="2" t="inlineStr">
        <is>
          <t>32,6 %</t>
        </is>
      </c>
      <c r="D7" s="2" t="inlineStr">
        <is>
          <t>22,6 %</t>
        </is>
      </c>
      <c r="E7" s="2" t="inlineStr">
        <is>
          <t>23,6 %</t>
        </is>
      </c>
      <c r="F7" s="2" t="inlineStr">
        <is>
          <t>35,0 %</t>
        </is>
      </c>
      <c r="G7" s="2" t="inlineStr">
        <is>
          <t>32,8 %</t>
        </is>
      </c>
    </row>
    <row r="8">
      <c r="A8" s="2" t="inlineStr">
        <is>
          <t>Com banca (AV4)</t>
        </is>
      </c>
      <c r="B8" s="2" t="inlineStr">
        <is>
          <t>3,7 %</t>
        </is>
      </c>
      <c r="C8" s="2" t="inlineStr">
        <is>
          <t>4,3 %</t>
        </is>
      </c>
      <c r="D8" s="2" t="inlineStr">
        <is>
          <t>2,4 %</t>
        </is>
      </c>
      <c r="E8" s="2" t="inlineStr">
        <is>
          <t>2,6 %</t>
        </is>
      </c>
      <c r="F8" s="2" t="inlineStr">
        <is>
          <t>6,6 %</t>
        </is>
      </c>
      <c r="G8" s="2" t="inlineStr">
        <is>
          <t>5,4 %</t>
        </is>
      </c>
    </row>
    <row r="9">
      <c r="A9" s="2" t="inlineStr">
        <is>
          <t>Regra de pontos explica os terceiros</t>
        </is>
      </c>
      <c r="B9" s="2" t="inlineStr">
        <is>
          <t>99,8 %</t>
        </is>
      </c>
      <c r="C9" s="2" t="inlineStr">
        <is>
          <t>99,7 %</t>
        </is>
      </c>
      <c r="D9" s="2" t="inlineStr">
        <is>
          <t>99,8 %</t>
        </is>
      </c>
      <c r="E9" s="2" t="inlineStr">
        <is>
          <t>99,8 %</t>
        </is>
      </c>
      <c r="F9" s="2" t="inlineStr">
        <is>
          <t>99,7 %</t>
        </is>
      </c>
      <c r="G9" s="2" t="inlineStr">
        <is>
          <t>99,6 %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9" t="inlineStr">
        <is>
          <t>Tabela 3. QWK entre as três leituras, 385 redações (grade de 40).  [Fonte: COMPETENCIAS_REDACAO_USP/RESULTADOS_QWK e VALIDACAO_USP.md]</t>
        </is>
      </c>
    </row>
    <row r="3" ht="42" customHeight="1">
      <c r="A3" s="3" t="inlineStr">
        <is>
          <t>Par</t>
        </is>
      </c>
      <c r="B3" s="3" t="inlineStr">
        <is>
          <t>C1</t>
        </is>
      </c>
      <c r="C3" s="3" t="inlineStr">
        <is>
          <t>C2</t>
        </is>
      </c>
      <c r="D3" s="3" t="inlineStr">
        <is>
          <t>C3</t>
        </is>
      </c>
      <c r="E3" s="3" t="inlineStr">
        <is>
          <t>C4</t>
        </is>
      </c>
      <c r="F3" s="3" t="inlineStr">
        <is>
          <t>C5</t>
        </is>
      </c>
      <c r="G3" s="3" t="inlineStr">
        <is>
          <t>Total</t>
        </is>
      </c>
    </row>
    <row r="4">
      <c r="A4" s="2" t="inlineStr">
        <is>
          <t>Anotador A × anotador B</t>
        </is>
      </c>
      <c r="B4" s="4" t="n">
        <v>0.569</v>
      </c>
      <c r="C4" s="4" t="n">
        <v>0.541</v>
      </c>
      <c r="D4" s="4" t="n">
        <v>0.585</v>
      </c>
      <c r="E4" s="4" t="n">
        <v>0.454</v>
      </c>
      <c r="F4" s="4" t="n">
        <v>0.637</v>
      </c>
      <c r="G4" s="4" t="n">
        <v>0.6929999999999999</v>
      </c>
    </row>
    <row r="5">
      <c r="A5" s="2" t="inlineStr">
        <is>
          <t>Anotador A × site</t>
        </is>
      </c>
      <c r="B5" s="5" t="n">
        <v>0.35</v>
      </c>
      <c r="C5" s="5" t="n">
        <v>0.31</v>
      </c>
      <c r="D5" s="5" t="n">
        <v>0.42</v>
      </c>
      <c r="E5" s="5" t="n">
        <v>0.27</v>
      </c>
      <c r="F5" s="5" t="n">
        <v>0.24</v>
      </c>
      <c r="G5" s="5" t="n">
        <v>0.39</v>
      </c>
    </row>
    <row r="6">
      <c r="A6" s="2" t="inlineStr">
        <is>
          <t>Anotador B × site</t>
        </is>
      </c>
      <c r="B6" s="5" t="n">
        <v>0.37</v>
      </c>
      <c r="C6" s="5" t="n">
        <v>0.48</v>
      </c>
      <c r="D6" s="5" t="n">
        <v>0.48</v>
      </c>
      <c r="E6" s="5" t="n">
        <v>0.37</v>
      </c>
      <c r="F6" s="5" t="n">
        <v>0.26</v>
      </c>
      <c r="G6" s="5" t="n">
        <v>0.49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44.1" customWidth="1" min="3" max="3"/>
    <col width="13.5" customWidth="1" min="4" max="4"/>
    <col width="25.2" customWidth="1" min="5" max="5"/>
  </cols>
  <sheetData>
    <row r="1">
      <c r="A1" s="9" t="inlineStr">
        <is>
          <t>Tabela 4. Marcos medidos. As 385 são a base inteira da USP (referência = média dos dois anotadores); a reserva são 206 redações retidas (QWK justo).  [Fonte: bancada de julho (replay), ledger do sandbox, confirmacao pre-registrada de 14/10/2026]</t>
        </is>
      </c>
    </row>
    <row r="3" ht="42" customHeight="1">
      <c r="A3" s="3" t="inlineStr">
        <is>
          <t>Data</t>
        </is>
      </c>
      <c r="B3" s="3" t="inlineStr">
        <is>
          <t>O que foi medido</t>
        </is>
      </c>
      <c r="C3" s="3" t="inlineStr">
        <is>
          <t>QWK total</t>
        </is>
      </c>
      <c r="D3" s="3" t="inlineStr">
        <is>
          <t>Viés (pontos)</t>
        </is>
      </c>
      <c r="E3" s="3" t="inlineStr">
        <is>
          <t>Fonte do número</t>
        </is>
      </c>
    </row>
    <row r="4">
      <c r="A4" s="2" t="inlineStr">
        <is>
          <t>27/07</t>
        </is>
      </c>
      <c r="B4" s="2" t="inlineStr">
        <is>
          <t>Produção (desempate para baixo), 385</t>
        </is>
      </c>
      <c r="C4" s="4" t="n">
        <v>0.493</v>
      </c>
      <c r="D4" s="5" t="n">
        <v>-112.9</v>
      </c>
      <c r="E4" s="2" t="inlineStr">
        <is>
          <t>bancada, replay</t>
        </is>
      </c>
    </row>
    <row r="5">
      <c r="A5" s="2" t="inlineStr">
        <is>
          <t>27/07</t>
        </is>
      </c>
      <c r="B5" s="2" t="inlineStr">
        <is>
          <t>Contador de caracteres, sem ler o texto, 385</t>
        </is>
      </c>
      <c r="C5" s="4" t="n">
        <v>0.478</v>
      </c>
      <c r="D5" s="2" t="inlineStr">
        <is>
          <t>—</t>
        </is>
      </c>
      <c r="E5" s="2" t="inlineStr">
        <is>
          <t>bancada</t>
        </is>
      </c>
    </row>
    <row r="6">
      <c r="A6" s="2" t="inlineStr">
        <is>
          <t>27/07</t>
        </is>
      </c>
      <c r="B6" s="2" t="inlineStr">
        <is>
          <t>Mesmo motor sem o viés (leave-one-out), 385</t>
        </is>
      </c>
      <c r="C6" s="4" t="n">
        <v>0.658</v>
      </c>
      <c r="D6" s="2" t="inlineStr">
        <is>
          <t>—</t>
        </is>
      </c>
      <c r="E6" s="2" t="inlineStr">
        <is>
          <t>bancada</t>
        </is>
      </c>
    </row>
    <row r="7">
      <c r="A7" s="2" t="inlineStr">
        <is>
          <t>27/07</t>
        </is>
      </c>
      <c r="B7" s="2" t="inlineStr">
        <is>
          <t>Anotadores A × B, 385</t>
        </is>
      </c>
      <c r="C7" s="4" t="n">
        <v>0.6929999999999999</v>
      </c>
      <c r="D7" s="2" t="inlineStr">
        <is>
          <t>—</t>
        </is>
      </c>
      <c r="E7" s="2" t="inlineStr">
        <is>
          <t>bancada</t>
        </is>
      </c>
    </row>
    <row r="8">
      <c r="A8" s="2" t="inlineStr">
        <is>
          <t>28/07</t>
        </is>
      </c>
      <c r="B8" s="2" t="inlineStr">
        <is>
          <t>Média pura adotada (empate para cima daria 0,605, reprovado por inflar +220 numa redação)</t>
        </is>
      </c>
      <c r="C8" s="4" t="n">
        <v>0.535</v>
      </c>
      <c r="D8" s="5" t="n">
        <v>-95.09999999999999</v>
      </c>
      <c r="E8" s="2" t="inlineStr">
        <is>
          <t>replay</t>
        </is>
      </c>
    </row>
    <row r="9">
      <c r="A9" s="2" t="inlineStr">
        <is>
          <t>28/07</t>
        </is>
      </c>
      <c r="B9" s="2" t="inlineStr">
        <is>
          <t>Tetos corrigidos e leitura resgatada (publicado)</t>
        </is>
      </c>
      <c r="C9" s="4" t="n">
        <v>0.585</v>
      </c>
      <c r="D9" s="5" t="n">
        <v>-71.3</v>
      </c>
      <c r="E9" s="2" t="inlineStr">
        <is>
          <t>replay</t>
        </is>
      </c>
    </row>
    <row r="10">
      <c r="A10" s="2" t="inlineStr">
        <is>
          <t>09/08</t>
        </is>
      </c>
      <c r="B10" s="2" t="inlineStr">
        <is>
          <t>Sandbox Carcará, 280 redações não usadas no ajuste; prompt próprio, chamada única, k = 3; nunca promovido à produção</t>
        </is>
      </c>
      <c r="C10" s="2" t="inlineStr">
        <is>
          <t>C1 0,54 · C2 0,44 · C3 0,50 · C4 0,43 · C5 0,57</t>
        </is>
      </c>
      <c r="D10" s="2" t="inlineStr">
        <is>
          <t>+32</t>
        </is>
      </c>
      <c r="E10" s="2" t="inlineStr">
        <is>
          <t>ledger</t>
        </is>
      </c>
    </row>
    <row r="11">
      <c r="A11" s="2" t="inlineStr">
        <is>
          <t>14/10</t>
        </is>
      </c>
      <c r="B11" s="2" t="inlineStr">
        <is>
          <t>Versão anterior do corretor com a coletânea real (que a produção de então não enviava), reserva 206 (B0)</t>
        </is>
      </c>
      <c r="C11" s="4" t="n">
        <v>0.492</v>
      </c>
      <c r="D11" s="5" t="n">
        <v>-74.8</v>
      </c>
      <c r="E11" s="2" t="inlineStr">
        <is>
          <t>confirmação pré-registrada</t>
        </is>
      </c>
    </row>
    <row r="12">
      <c r="A12" s="2" t="inlineStr">
        <is>
          <t>14/10</t>
        </is>
      </c>
      <c r="B12" s="2" t="inlineStr">
        <is>
          <t>Produção atual (NOVO = calibração B1 + P1), reserva 206</t>
        </is>
      </c>
      <c r="C12" s="4" t="n">
        <v>0.534</v>
      </c>
      <c r="D12" s="5" t="n">
        <v>-59.4</v>
      </c>
      <c r="E12" s="2" t="inlineStr">
        <is>
          <t>idem</t>
        </is>
      </c>
    </row>
    <row r="13">
      <c r="A13" s="2" t="inlineStr">
        <is>
          <t>14/10</t>
        </is>
      </c>
      <c r="B13" s="2" t="inlineStr">
        <is>
          <t>Produção como estava, com a frase genérica no lugar da coletânea (B0_GEN), 80 da reserva</t>
        </is>
      </c>
      <c r="C13" s="2" t="inlineStr">
        <is>
          <t>0,529 (NOVO nas mesmas 80: 0,557)</t>
        </is>
      </c>
      <c r="D13" s="2" t="inlineStr">
        <is>
          <t>—</t>
        </is>
      </c>
      <c r="E13" s="2" t="inlineStr">
        <is>
          <t>idem, braço secundário</t>
        </is>
      </c>
    </row>
    <row r="14">
      <c r="A14" s="2" t="inlineStr">
        <is>
          <t>14/10</t>
        </is>
      </c>
      <c r="B14" s="2" t="inlineStr">
        <is>
          <t>Anotadores A × B nas mesmas 206</t>
        </is>
      </c>
      <c r="C14" s="4" t="n">
        <v>0.494</v>
      </c>
      <c r="D14" s="2" t="inlineStr">
        <is>
          <t>—</t>
        </is>
      </c>
      <c r="E14" s="2" t="inlineStr">
        <is>
          <t>idem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0.7" customWidth="1" min="2" max="2"/>
    <col width="21.6" customWidth="1" min="3" max="3"/>
    <col width="25.2" customWidth="1" min="4" max="4"/>
    <col width="20.7" customWidth="1" min="5" max="5"/>
    <col width="12" customWidth="1" min="6" max="6"/>
    <col width="29.7" customWidth="1" min="7" max="7"/>
  </cols>
  <sheetData>
    <row r="1">
      <c r="A1" s="9" t="inlineStr">
        <is>
          <t>Tabela 5. Produção atual contra os anotadores, 206 redações da reserva (QWK justo), os anotadores entre si nas mesmas redações e a diferença pareada, com intervalos de 95 % por bootstrap de redações (2.000 réplicas).  [Fonte: abas Comparacao_QWK e Incerteza_reserva deste Excel (dados/qwk_comparacao.csv, dados/incerteza_reserva.csv)]</t>
        </is>
      </c>
    </row>
    <row r="3" ht="42" customHeight="1">
      <c r="A3" s="3" t="inlineStr">
        <is>
          <t>Medida</t>
        </is>
      </c>
      <c r="B3" s="3" t="inlineStr">
        <is>
          <t>Anotadores A × B [IC]</t>
        </is>
      </c>
      <c r="C3" s="3" t="inlineStr">
        <is>
          <t>Corretor anterior (B0)</t>
        </is>
      </c>
      <c r="D3" s="3" t="inlineStr">
        <is>
          <t>Corretor atual (NOVO) [IC]</t>
        </is>
      </c>
      <c r="E3" s="3" t="inlineStr">
        <is>
          <t>NOVO − A × B [IC]</t>
        </is>
      </c>
      <c r="F3" s="3" t="inlineStr">
        <is>
          <t>Viés atual</t>
        </is>
      </c>
      <c r="G3" s="3" t="inlineStr">
        <is>
          <t>% de 200: corretor / anotadores</t>
        </is>
      </c>
    </row>
    <row r="4">
      <c r="A4" s="2" t="inlineStr">
        <is>
          <t>C1</t>
        </is>
      </c>
      <c r="B4" s="2" t="inlineStr">
        <is>
          <t>0,501 [0,39; 0,59]</t>
        </is>
      </c>
      <c r="C4" s="4" t="n">
        <v>0.538</v>
      </c>
      <c r="D4" s="2" t="inlineStr">
        <is>
          <t>0,502 [0,41; 0,58]</t>
        </is>
      </c>
      <c r="E4" s="2" t="inlineStr">
        <is>
          <t>0,000 [−0,10; +0,10]</t>
        </is>
      </c>
      <c r="F4" s="5" t="n">
        <v>-8</v>
      </c>
      <c r="G4" s="2" t="inlineStr">
        <is>
          <t>0,5 / 7,5</t>
        </is>
      </c>
    </row>
    <row r="5">
      <c r="A5" s="2" t="inlineStr">
        <is>
          <t>C2</t>
        </is>
      </c>
      <c r="B5" s="2" t="inlineStr">
        <is>
          <t>0,378 [0,25; 0,49]</t>
        </is>
      </c>
      <c r="C5" s="4" t="n">
        <v>0.364</v>
      </c>
      <c r="D5" s="2" t="inlineStr">
        <is>
          <t>0,345 [0,27; 0,42]</t>
        </is>
      </c>
      <c r="E5" s="2" t="inlineStr">
        <is>
          <t>−0,033 [−0,15; +0,08]</t>
        </is>
      </c>
      <c r="F5" s="5" t="n">
        <v>-13</v>
      </c>
      <c r="G5" s="2" t="inlineStr">
        <is>
          <t>0 / 13,1</t>
        </is>
      </c>
    </row>
    <row r="6">
      <c r="A6" s="2" t="inlineStr">
        <is>
          <t>C3</t>
        </is>
      </c>
      <c r="B6" s="2" t="inlineStr">
        <is>
          <t>0,424 [0,28; 0,55]</t>
        </is>
      </c>
      <c r="C6" s="4" t="n">
        <v>0.391</v>
      </c>
      <c r="D6" s="2" t="inlineStr">
        <is>
          <t>0,375 [0,30; 0,45]</t>
        </is>
      </c>
      <c r="E6" s="2" t="inlineStr">
        <is>
          <t>−0,049 [−0,18; +0,08]</t>
        </is>
      </c>
      <c r="F6" s="5" t="n">
        <v>-12</v>
      </c>
      <c r="G6" s="2" t="inlineStr">
        <is>
          <t>0 / 4,4</t>
        </is>
      </c>
    </row>
    <row r="7">
      <c r="A7" s="2" t="inlineStr">
        <is>
          <t>C4</t>
        </is>
      </c>
      <c r="B7" s="2" t="inlineStr">
        <is>
          <t>0,397 [0,28; 0,50]</t>
        </is>
      </c>
      <c r="C7" s="4" t="n">
        <v>0.33</v>
      </c>
      <c r="D7" s="2" t="inlineStr">
        <is>
          <t>0,320 [0,25; 0,38]</t>
        </is>
      </c>
      <c r="E7" s="2" t="inlineStr">
        <is>
          <t>−0,077 [−0,18; +0,03]</t>
        </is>
      </c>
      <c r="F7" s="5" t="n">
        <v>-24</v>
      </c>
      <c r="G7" s="2" t="inlineStr">
        <is>
          <t>0 / 4,6</t>
        </is>
      </c>
    </row>
    <row r="8">
      <c r="A8" s="2" t="inlineStr">
        <is>
          <t>C5</t>
        </is>
      </c>
      <c r="B8" s="2" t="inlineStr">
        <is>
          <t>0,555 [0,46; 0,65]</t>
        </is>
      </c>
      <c r="C8" s="4" t="n">
        <v>0.46</v>
      </c>
      <c r="D8" s="2" t="inlineStr">
        <is>
          <t>0,583 [0,52; 0,63]</t>
        </is>
      </c>
      <c r="E8" s="2" t="inlineStr">
        <is>
          <t>+0,029 [−0,06; +0,12]</t>
        </is>
      </c>
      <c r="F8" s="5" t="n">
        <v>-3</v>
      </c>
      <c r="G8" s="2" t="inlineStr">
        <is>
          <t>0 / 3,4</t>
        </is>
      </c>
    </row>
    <row r="9">
      <c r="A9" s="2" t="inlineStr">
        <is>
          <t>Total</t>
        </is>
      </c>
      <c r="B9" s="2" t="inlineStr">
        <is>
          <t>0,494 [0,37; 0,60]</t>
        </is>
      </c>
      <c r="C9" s="4" t="n">
        <v>0.492</v>
      </c>
      <c r="D9" s="2" t="inlineStr">
        <is>
          <t>0,534 [0,47; 0,59]</t>
        </is>
      </c>
      <c r="E9" s="2" t="inlineStr">
        <is>
          <t>+0,040 [−0,06; +0,14]</t>
        </is>
      </c>
      <c r="F9" s="5" t="n">
        <v>-59</v>
      </c>
      <c r="G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54.9" customWidth="1" min="2" max="2"/>
    <col width="60" customWidth="1" min="3" max="3"/>
    <col width="37.8" customWidth="1" min="4" max="4"/>
  </cols>
  <sheetData>
    <row r="1">
      <c r="A1" s="9" t="inlineStr">
        <is>
          <t>Tabela 6. Modelos avaliados, de junho a outubro de 2026.  [Fonte: MODELS.md, ledger do sandbox, PROPOSTA-arquitetura, PONTO-DE-RETOMADA de 13/10/2026]</t>
        </is>
      </c>
    </row>
    <row r="3" ht="42" customHeight="1">
      <c r="A3" s="3" t="inlineStr">
        <is>
          <t>Modelo (origem)</t>
        </is>
      </c>
      <c r="B3" s="3" t="inlineStr">
        <is>
          <t>Papel testado</t>
        </is>
      </c>
      <c r="C3" s="3" t="inlineStr">
        <is>
          <t>Resultado medido</t>
        </is>
      </c>
      <c r="D3" s="3" t="inlineStr">
        <is>
          <t>Destino</t>
        </is>
      </c>
    </row>
    <row r="4">
      <c r="A4" s="2" t="inlineStr">
        <is>
          <t>Sabiazinho-4 (Maritaca, BR)</t>
        </is>
      </c>
      <c r="B4" s="2" t="inlineStr">
        <is>
          <t>as duas leituras que geram a nota</t>
        </is>
      </c>
      <c r="C4" s="2" t="inlineStr">
        <is>
          <t>leitura enxuta 0,661 contra a média dos anotadores nas 385 (convenção que favorece a máquina; sozinha infla 27 redações); com calibração, 0,534 em QWK justo na reserva</t>
        </is>
      </c>
      <c r="D4" s="2" t="inlineStr">
        <is>
          <t>em produção</t>
        </is>
      </c>
    </row>
    <row r="5">
      <c r="A5" s="2" t="inlineStr">
        <is>
          <t>Sabiá-4 (Maritaca)</t>
        </is>
      </c>
      <c r="B5" s="2" t="inlineStr">
        <is>
          <t>sonda (n = 28, k = 1) e roteamento de C2/C3 (n = 95, k = 3)</t>
        </is>
      </c>
      <c r="C5" s="2" t="inlineStr">
        <is>
          <t>sonda: melhor nas semânticas (C2 +0,19, C3 +0,10), pior nas mecânicas (C1 −0,21, C4 −0,06); roteamento: C2 0,46 → 0,66 [+0,10; +0,29], C3 0,44 → 0,61 [+0,07; +0,26]; 6,2× o custo; menos estável (7,0 contra 4,3 pontos por célula)</t>
        </is>
      </c>
      <c r="D5" s="2" t="inlineStr">
        <is>
          <t>aceito no sandbox; não promovido (custo)</t>
        </is>
      </c>
    </row>
    <row r="6">
      <c r="A6" s="2" t="inlineStr">
        <is>
          <t>Sabiá-4-thinking (Maritaca)</t>
        </is>
      </c>
      <c r="B6" s="2" t="inlineStr">
        <is>
          <t>núcleo multiagente com o Sabiazinho (dev-91)</t>
        </is>
      </c>
      <c r="C6" s="2" t="inlineStr">
        <is>
          <t>0,633 → 0,714 em QWK justo calibrado (+0,081 [+0,015; +0,146]); R$ 0,22 por correção (8 a 13 vezes a produção)</t>
        </is>
      </c>
      <c r="D6" s="2" t="inlineStr">
        <is>
          <t>não adotado (custo); vale teste na C4</t>
        </is>
      </c>
    </row>
    <row r="7">
      <c r="A7" s="2" t="inlineStr">
        <is>
          <t>Qwen 3.8-27B (Cloudflare)</t>
        </is>
      </c>
      <c r="B7" s="2" t="inlineStr">
        <is>
          <t>leitor adicional no núcleo</t>
        </is>
      </c>
      <c r="C7" s="2" t="inlineStr">
        <is>
          <t>+0,009 [−0,022; +0,041]: empate; + R$ 0,022 por correção (a arquitetura completa com Qwen custaria 3,6 vezes a produção)</t>
        </is>
      </c>
      <c r="D7" s="2" t="inlineStr">
        <is>
          <t>fora da nota</t>
        </is>
      </c>
    </row>
    <row r="8">
      <c r="A8" s="2" t="inlineStr">
        <is>
          <t>DeepSeek V4-pro</t>
        </is>
      </c>
      <c r="B8" s="2" t="inlineStr">
        <is>
          <t>terceiro leitor em C2/C3/C5 (dev92)</t>
        </is>
      </c>
      <c r="C8" s="2" t="inlineStr">
        <is>
          <t>+0,015 [−0,026; +0,044]: não inferior; + R$ 0,08</t>
        </is>
      </c>
      <c r="D8" s="2" t="inlineStr">
        <is>
          <t>não adotado</t>
        </is>
      </c>
    </row>
    <row r="9">
      <c r="A9" s="2" t="inlineStr">
        <is>
          <t>Llama 3.3 70B (Meta, Cloudflare)</t>
        </is>
      </c>
      <c r="B9" s="2" t="inlineStr">
        <is>
          <t>corretor primário (lane "llama")</t>
        </is>
      </c>
      <c r="C9" s="2" t="inlineStr">
        <is>
          <t>o incidente de inflação de 23/07 (texto de ~640 saiu 1000) ocorreu com a lane llama ativa; a lane foi revertida</t>
        </is>
      </c>
      <c r="D9" s="2" t="inlineStr">
        <is>
          <t>só auditoria de risco</t>
        </is>
      </c>
    </row>
    <row r="10">
      <c r="A10" s="2" t="inlineStr">
        <is>
          <t>Llama 3.3 70B</t>
        </is>
      </c>
      <c r="B10" s="2" t="inlineStr">
        <is>
          <t>auditoria de tangenciamento</t>
        </is>
      </c>
      <c r="C10" s="2" t="inlineStr">
        <is>
          <t>bancada equilibrada: recall 0,43 com precisão 1,0; em prevalência real (6,5 %): 1 falso positivo em 158 (0,6 %); as três variantes para subir o recall levaram a taxa de falso positivo a 18–30 %</t>
        </is>
      </c>
      <c r="D10" s="2" t="inlineStr">
        <is>
          <t>mantido como auditor conservador</t>
        </is>
      </c>
    </row>
    <row r="11">
      <c r="A11" s="2" t="inlineStr">
        <is>
          <t>gpt-oss-120b, nemotron-3-120b, gpt-oss-20b, deepseek-r1-distill-qwen-32b (Cloudflare)</t>
        </is>
      </c>
      <c r="B11" s="2" t="inlineStr">
        <is>
          <t>detector de tangenciamento</t>
        </is>
      </c>
      <c r="C11" s="2" t="inlineStr">
        <is>
          <t>recall 0,71 a 0,90, precisão 0,70 a 0,79 na bancada equilibrada; em prevalência real, cerca de 46 estudantes prejudicados para 10 acertos com o gpt-oss-120b e 34 para 10 mesmo com um comitê de três</t>
        </is>
      </c>
      <c r="D11" s="2" t="inlineStr">
        <is>
          <t>descartados</t>
        </is>
      </c>
    </row>
    <row r="12">
      <c r="A12" s="2" t="inlineStr">
        <is>
          <t>Llama 3.1 8B, GLM 4.7 flash, gpt-oss-120b</t>
        </is>
      </c>
      <c r="B12" s="2" t="inlineStr">
        <is>
          <t>modelo geral da auditoria (junho)</t>
        </is>
      </c>
      <c r="C12" s="2" t="inlineStr">
        <is>
          <t>trocas de calibração inicial</t>
        </is>
      </c>
      <c r="D12" s="2" t="inlineStr">
        <is>
          <t>substituídos pelo Llama 3.3 70B</t>
        </is>
      </c>
    </row>
    <row r="13">
      <c r="A13" s="2" t="inlineStr">
        <is>
          <t>Sabiazinho-4 como auditor do zero</t>
        </is>
      </c>
      <c r="B13" s="2" t="inlineStr">
        <is>
          <t>detecção de fuga, cópia, texto insuficiente</t>
        </is>
      </c>
      <c r="C13" s="2" t="inlineStr">
        <is>
          <t>10 e 14 falsos positivos em 180</t>
        </is>
      </c>
      <c r="D13" s="2" t="inlineStr">
        <is>
          <t>reprovado</t>
        </is>
      </c>
    </row>
    <row r="14">
      <c r="A14" s="2" t="inlineStr">
        <is>
          <t>Cascata Sabiazinho-4 → sabiá-4-thinking</t>
        </is>
      </c>
      <c r="B14" s="2" t="inlineStr">
        <is>
          <t>auditoria sem o Llama</t>
        </is>
      </c>
      <c r="C14" s="2" t="inlineStr">
        <is>
          <t>supera o Llama em tudo (fuga 27 × 24 em 27; 0 falsos positivos em 100), mas reprovada no portão pré-registrado (parte desconectada 6 em 13)</t>
        </is>
      </c>
      <c r="D14" s="2" t="inlineStr">
        <is>
          <t>parada até corpus novo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20.7" customWidth="1" min="3" max="3"/>
    <col width="20.7" customWidth="1" min="4" max="4"/>
    <col width="17.1" customWidth="1" min="5" max="5"/>
    <col width="36" customWidth="1" min="6" max="6"/>
  </cols>
  <sheetData>
    <row r="1">
      <c r="A1" s="9" t="inlineStr">
        <is>
          <t>Tabela 7. Distribuição por faixa (% das redações de cada fonte).  [Fonte: aba Distribuicao_faixas deste Excel (dados/distribuicao_faixas.csv)]</t>
        </is>
      </c>
    </row>
    <row r="3" ht="42" customHeight="1">
      <c r="A3" s="3" t="inlineStr">
        <is>
          <t>Faixa</t>
        </is>
      </c>
      <c r="B3" s="3" t="inlineStr">
        <is>
          <t>Enem 2019–2024</t>
        </is>
      </c>
      <c r="C3" s="3" t="inlineStr">
        <is>
          <t>USP, anotadores (385)</t>
        </is>
      </c>
      <c r="D3" s="3" t="inlineStr">
        <is>
          <t>USP, anotadores (206)</t>
        </is>
      </c>
      <c r="E3" s="3" t="inlineStr">
        <is>
          <t>Arara atual (206)</t>
        </is>
      </c>
      <c r="F3" s="3" t="inlineStr">
        <is>
          <t>Arara julho, antes das correções (385)</t>
        </is>
      </c>
    </row>
    <row r="4">
      <c r="A4" s="5" t="n">
        <v>0</v>
      </c>
      <c r="B4" s="5" t="n">
        <v>4.2</v>
      </c>
      <c r="C4" s="5" t="n">
        <v>0.3</v>
      </c>
      <c r="D4" s="5" t="n">
        <v>0</v>
      </c>
      <c r="E4" s="5" t="n">
        <v>0</v>
      </c>
      <c r="F4" s="5" t="n">
        <v>0</v>
      </c>
    </row>
    <row r="5">
      <c r="A5" s="2" t="inlineStr">
        <is>
          <t>20 a 300</t>
        </is>
      </c>
      <c r="B5" s="5" t="n">
        <v>2.3</v>
      </c>
      <c r="C5" s="5" t="n">
        <v>3.4</v>
      </c>
      <c r="D5" s="5" t="n">
        <v>1</v>
      </c>
      <c r="E5" s="5" t="n">
        <v>1.5</v>
      </c>
      <c r="F5" s="5" t="n">
        <v>4.2</v>
      </c>
    </row>
    <row r="6">
      <c r="A6" s="2" t="inlineStr">
        <is>
          <t>320 a 400</t>
        </is>
      </c>
      <c r="B6" s="5" t="n">
        <v>7.3</v>
      </c>
      <c r="C6" s="5" t="n">
        <v>9.6</v>
      </c>
      <c r="D6" s="5" t="n">
        <v>2.4</v>
      </c>
      <c r="E6" s="5" t="n">
        <v>16</v>
      </c>
      <c r="F6" s="5" t="n">
        <v>33.5</v>
      </c>
    </row>
    <row r="7">
      <c r="A7" s="2" t="inlineStr">
        <is>
          <t>420 a 500</t>
        </is>
      </c>
      <c r="B7" s="5" t="n">
        <v>12.5</v>
      </c>
      <c r="C7" s="5" t="n">
        <v>13.8</v>
      </c>
      <c r="D7" s="5" t="n">
        <v>18</v>
      </c>
      <c r="E7" s="5" t="n">
        <v>20.9</v>
      </c>
      <c r="F7" s="5" t="n">
        <v>17.7</v>
      </c>
    </row>
    <row r="8">
      <c r="A8" s="2" t="inlineStr">
        <is>
          <t>520 a 600</t>
        </is>
      </c>
      <c r="B8" s="5" t="n">
        <v>26</v>
      </c>
      <c r="C8" s="5" t="n">
        <v>22.3</v>
      </c>
      <c r="D8" s="5" t="n">
        <v>25.7</v>
      </c>
      <c r="E8" s="5" t="n">
        <v>29.1</v>
      </c>
      <c r="F8" s="5" t="n">
        <v>30.1</v>
      </c>
    </row>
    <row r="9">
      <c r="A9" s="2" t="inlineStr">
        <is>
          <t>620 a 700</t>
        </is>
      </c>
      <c r="B9" s="5" t="n">
        <v>18.7</v>
      </c>
      <c r="C9" s="5" t="n">
        <v>29.9</v>
      </c>
      <c r="D9" s="5" t="n">
        <v>36.4</v>
      </c>
      <c r="E9" s="5" t="n">
        <v>25.2</v>
      </c>
      <c r="F9" s="5" t="n">
        <v>10.4</v>
      </c>
    </row>
    <row r="10">
      <c r="A10" s="2" t="inlineStr">
        <is>
          <t>720 a 800</t>
        </is>
      </c>
      <c r="B10" s="5" t="n">
        <v>12.7</v>
      </c>
      <c r="C10" s="5" t="n">
        <v>14</v>
      </c>
      <c r="D10" s="5" t="n">
        <v>15.5</v>
      </c>
      <c r="E10" s="5" t="n">
        <v>7.3</v>
      </c>
      <c r="F10" s="5" t="n">
        <v>4.2</v>
      </c>
    </row>
    <row r="11">
      <c r="A11" s="2" t="inlineStr">
        <is>
          <t>820 a 900</t>
        </is>
      </c>
      <c r="B11" s="5" t="n">
        <v>11.1</v>
      </c>
      <c r="C11" s="5" t="n">
        <v>6</v>
      </c>
      <c r="D11" s="5" t="n">
        <v>1</v>
      </c>
      <c r="E11" s="5" t="n">
        <v>0</v>
      </c>
      <c r="F11" s="5" t="n">
        <v>0</v>
      </c>
    </row>
    <row r="12">
      <c r="A12" s="2" t="inlineStr">
        <is>
          <t>920 a 980</t>
        </is>
      </c>
      <c r="B12" s="5" t="n">
        <v>5.3</v>
      </c>
      <c r="C12" s="5" t="n">
        <v>0.8</v>
      </c>
      <c r="D12" s="5" t="n">
        <v>0</v>
      </c>
      <c r="E12" s="5" t="n">
        <v>0</v>
      </c>
      <c r="F12" s="5" t="n">
        <v>0</v>
      </c>
    </row>
    <row r="13">
      <c r="A13" s="5" t="n">
        <v>1000</v>
      </c>
      <c r="B13" s="4" t="n">
        <v>0.001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2" t="inlineStr">
        <is>
          <t>Média</t>
        </is>
      </c>
      <c r="B14" s="5" t="n">
        <v>601</v>
      </c>
      <c r="C14" s="5" t="n">
        <v>595</v>
      </c>
      <c r="D14" s="5" t="n">
        <v>602</v>
      </c>
      <c r="E14" s="5" t="n">
        <v>543</v>
      </c>
      <c r="F14" s="5" t="n">
        <v>482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9.8" customWidth="1" min="5" max="5"/>
    <col width="19.8" customWidth="1" min="6" max="6"/>
    <col width="12" customWidth="1" min="7" max="7"/>
    <col width="19.8" customWidth="1" min="8" max="8"/>
    <col width="18" customWidth="1" min="9" max="9"/>
    <col width="21.6" customWidth="1" min="10" max="10"/>
    <col width="12" customWidth="1" min="11" max="11"/>
    <col width="12" customWidth="1" min="12" max="12"/>
  </cols>
  <sheetData>
    <row r="1">
      <c r="A1" s="9" t="inlineStr">
        <is>
          <t>A.1 Por fonte e convenção.  [Fonte: aba Comparacao_QWK deste Excel (dados/qwk_comparacao.csv)]</t>
        </is>
      </c>
    </row>
    <row r="3" ht="42" customHeight="1">
      <c r="A3" s="3" t="inlineStr">
        <is>
          <t>Medida</t>
        </is>
      </c>
      <c r="B3" s="3" t="inlineStr">
        <is>
          <t>Enem média 2019–24</t>
        </is>
      </c>
      <c r="C3" s="3" t="inlineStr">
        <is>
          <t>Enem menor</t>
        </is>
      </c>
      <c r="D3" s="3" t="inlineStr">
        <is>
          <t>Enem maior</t>
        </is>
      </c>
      <c r="E3" s="3" t="inlineStr">
        <is>
          <t>USP A×B 385 (pop. A)</t>
        </is>
      </c>
      <c r="F3" s="3" t="inlineStr">
        <is>
          <t>USP A×B 381 (pop. B)</t>
        </is>
      </c>
      <c r="G3" s="3" t="inlineStr">
        <is>
          <t>USP A×B 206</t>
        </is>
      </c>
      <c r="H3" s="3" t="inlineStr">
        <is>
          <t>Arara NOVO justo 206</t>
        </is>
      </c>
      <c r="I3" s="3" t="inlineStr">
        <is>
          <t>Arara B0 justo 206</t>
        </is>
      </c>
      <c r="J3" s="3" t="inlineStr">
        <is>
          <t>Arara NOVO × média 206</t>
        </is>
      </c>
      <c r="K3" s="3" t="inlineStr">
        <is>
          <t>Viés NOVO</t>
        </is>
      </c>
      <c r="L3" s="3" t="inlineStr">
        <is>
          <t>Viés B0</t>
        </is>
      </c>
    </row>
    <row r="4">
      <c r="A4" s="2" t="inlineStr">
        <is>
          <t>C1</t>
        </is>
      </c>
      <c r="B4" s="4" t="n">
        <v>0.51</v>
      </c>
      <c r="C4" s="4" t="n">
        <v>0.491</v>
      </c>
      <c r="D4" s="4" t="n">
        <v>0.529</v>
      </c>
      <c r="E4" s="4" t="n">
        <v>0.569</v>
      </c>
      <c r="F4" s="4" t="n">
        <v>0.5580000000000001</v>
      </c>
      <c r="G4" s="4" t="n">
        <v>0.501</v>
      </c>
      <c r="H4" s="4" t="n">
        <v>0.502</v>
      </c>
      <c r="I4" s="4" t="n">
        <v>0.538</v>
      </c>
      <c r="J4" s="4" t="n">
        <v>0.578</v>
      </c>
      <c r="K4" s="5" t="n">
        <v>-8.1</v>
      </c>
      <c r="L4" s="5" t="n">
        <v>-8.699999999999999</v>
      </c>
    </row>
    <row r="5">
      <c r="A5" s="2" t="inlineStr">
        <is>
          <t>C2</t>
        </is>
      </c>
      <c r="B5" s="4" t="n">
        <v>0.645</v>
      </c>
      <c r="C5" s="4" t="n">
        <v>0.549</v>
      </c>
      <c r="D5" s="4" t="n">
        <v>0.725</v>
      </c>
      <c r="E5" s="4" t="n">
        <v>0.541</v>
      </c>
      <c r="F5" s="4" t="n">
        <v>0.529</v>
      </c>
      <c r="G5" s="4" t="n">
        <v>0.378</v>
      </c>
      <c r="H5" s="4" t="n">
        <v>0.345</v>
      </c>
      <c r="I5" s="4" t="n">
        <v>0.364</v>
      </c>
      <c r="J5" s="4" t="n">
        <v>0.415</v>
      </c>
      <c r="K5" s="5" t="n">
        <v>-12.6</v>
      </c>
      <c r="L5" s="5" t="n">
        <v>-13.8</v>
      </c>
    </row>
    <row r="6">
      <c r="A6" s="2" t="inlineStr">
        <is>
          <t>C3</t>
        </is>
      </c>
      <c r="B6" s="4" t="n">
        <v>0.573</v>
      </c>
      <c r="C6" s="4" t="n">
        <v>0.55</v>
      </c>
      <c r="D6" s="4" t="n">
        <v>0.611</v>
      </c>
      <c r="E6" s="4" t="n">
        <v>0.585</v>
      </c>
      <c r="F6" s="4" t="n">
        <v>0.57</v>
      </c>
      <c r="G6" s="4" t="n">
        <v>0.424</v>
      </c>
      <c r="H6" s="4" t="n">
        <v>0.375</v>
      </c>
      <c r="I6" s="4" t="n">
        <v>0.391</v>
      </c>
      <c r="J6" s="4" t="n">
        <v>0.462</v>
      </c>
      <c r="K6" s="5" t="n">
        <v>-11.8</v>
      </c>
      <c r="L6" s="5" t="n">
        <v>-13.1</v>
      </c>
    </row>
    <row r="7">
      <c r="A7" s="2" t="inlineStr">
        <is>
          <t>C4</t>
        </is>
      </c>
      <c r="B7" s="4" t="n">
        <v>0.621</v>
      </c>
      <c r="C7" s="4" t="n">
        <v>0.585</v>
      </c>
      <c r="D7" s="4" t="n">
        <v>0.642</v>
      </c>
      <c r="E7" s="4" t="n">
        <v>0.454</v>
      </c>
      <c r="F7" s="4" t="n">
        <v>0.459</v>
      </c>
      <c r="G7" s="4" t="n">
        <v>0.397</v>
      </c>
      <c r="H7" s="4" t="n">
        <v>0.32</v>
      </c>
      <c r="I7" s="4" t="n">
        <v>0.33</v>
      </c>
      <c r="J7" s="4" t="n">
        <v>0.363</v>
      </c>
      <c r="K7" s="5" t="n">
        <v>-24.1</v>
      </c>
      <c r="L7" s="5" t="n">
        <v>-24.9</v>
      </c>
    </row>
    <row r="8">
      <c r="A8" s="2" t="inlineStr">
        <is>
          <t>C5</t>
        </is>
      </c>
      <c r="B8" s="4" t="n">
        <v>0.776</v>
      </c>
      <c r="C8" s="4" t="n">
        <v>0.737</v>
      </c>
      <c r="D8" s="4" t="n">
        <v>0.8</v>
      </c>
      <c r="E8" s="4" t="n">
        <v>0.637</v>
      </c>
      <c r="F8" s="4" t="n">
        <v>0.633</v>
      </c>
      <c r="G8" s="4" t="n">
        <v>0.555</v>
      </c>
      <c r="H8" s="4" t="n">
        <v>0.583</v>
      </c>
      <c r="I8" s="4" t="n">
        <v>0.46</v>
      </c>
      <c r="J8" s="4" t="n">
        <v>0.6899999999999999</v>
      </c>
      <c r="K8" s="5" t="n">
        <v>-2.8</v>
      </c>
      <c r="L8" s="5" t="n">
        <v>-14.3</v>
      </c>
    </row>
    <row r="9">
      <c r="A9" s="2" t="inlineStr">
        <is>
          <t>Total</t>
        </is>
      </c>
      <c r="B9" s="4" t="n">
        <v>0.8080000000000001</v>
      </c>
      <c r="C9" s="4" t="n">
        <v>0.779</v>
      </c>
      <c r="D9" s="4" t="n">
        <v>0.844</v>
      </c>
      <c r="E9" s="4" t="n">
        <v>0.6929999999999999</v>
      </c>
      <c r="F9" s="4" t="n">
        <v>0.6870000000000001</v>
      </c>
      <c r="G9" s="4" t="n">
        <v>0.494</v>
      </c>
      <c r="H9" s="4" t="n">
        <v>0.534</v>
      </c>
      <c r="I9" s="4" t="n">
        <v>0.492</v>
      </c>
      <c r="J9" s="4" t="n">
        <v>0.602</v>
      </c>
      <c r="K9" s="5" t="n">
        <v>-59.4</v>
      </c>
      <c r="L9" s="5" t="n">
        <v>-74.8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.8" customWidth="1" min="2" max="2"/>
    <col width="19.8" customWidth="1" min="3" max="3"/>
    <col width="22.5" customWidth="1" min="4" max="4"/>
    <col width="25.2" customWidth="1" min="5" max="5"/>
  </cols>
  <sheetData>
    <row r="1">
      <c r="A1" s="9" t="inlineStr">
        <is>
          <t>A.2 Incerteza na reserva (206): intervalos de 95 % por bootstrap de redações, 2.000 réplicas, semente 20261023.  [Fonte: aba Incerteza_reserva deste Excel (dados/incerteza_reserva.csv)]</t>
        </is>
      </c>
    </row>
    <row r="3" ht="42" customHeight="1">
      <c r="A3" s="3" t="inlineStr">
        <is>
          <t>Medida</t>
        </is>
      </c>
      <c r="B3" s="3" t="inlineStr">
        <is>
          <t>NOVO justo [IC]</t>
        </is>
      </c>
      <c r="C3" s="3" t="inlineStr">
        <is>
          <t>A × B [IC]</t>
        </is>
      </c>
      <c r="D3" s="3" t="inlineStr">
        <is>
          <t>NOVO − A × B [IC]</t>
        </is>
      </c>
      <c r="E3" s="3" t="inlineStr">
        <is>
          <t>Réplicas com diferença &gt; 0</t>
        </is>
      </c>
    </row>
    <row r="4">
      <c r="A4" s="2" t="inlineStr">
        <is>
          <t>C1</t>
        </is>
      </c>
      <c r="B4" s="2" t="inlineStr">
        <is>
          <t>0,502 [0,407; 0,585]</t>
        </is>
      </c>
      <c r="C4" s="2" t="inlineStr">
        <is>
          <t>0,501 [0,393; 0,592]</t>
        </is>
      </c>
      <c r="D4" s="2" t="inlineStr">
        <is>
          <t>0,000 [−0,099; +0,099]</t>
        </is>
      </c>
      <c r="E4" s="2" t="inlineStr">
        <is>
          <t>53 %</t>
        </is>
      </c>
    </row>
    <row r="5">
      <c r="A5" s="2" t="inlineStr">
        <is>
          <t>C2</t>
        </is>
      </c>
      <c r="B5" s="2" t="inlineStr">
        <is>
          <t>0,345 [0,267; 0,418]</t>
        </is>
      </c>
      <c r="C5" s="2" t="inlineStr">
        <is>
          <t>0,378 [0,250; 0,486]</t>
        </is>
      </c>
      <c r="D5" s="2" t="inlineStr">
        <is>
          <t>−0,033 [−0,151; +0,084]</t>
        </is>
      </c>
      <c r="E5" s="2" t="inlineStr">
        <is>
          <t>31 %</t>
        </is>
      </c>
    </row>
    <row r="6">
      <c r="A6" s="2" t="inlineStr">
        <is>
          <t>C3</t>
        </is>
      </c>
      <c r="B6" s="2" t="inlineStr">
        <is>
          <t>0,375 [0,300; 0,445]</t>
        </is>
      </c>
      <c r="C6" s="2" t="inlineStr">
        <is>
          <t>0,424 [0,275; 0,552]</t>
        </is>
      </c>
      <c r="D6" s="2" t="inlineStr">
        <is>
          <t>−0,049 [−0,177; +0,080]</t>
        </is>
      </c>
      <c r="E6" s="2" t="inlineStr">
        <is>
          <t>24 %</t>
        </is>
      </c>
    </row>
    <row r="7">
      <c r="A7" s="2" t="inlineStr">
        <is>
          <t>C4</t>
        </is>
      </c>
      <c r="B7" s="2" t="inlineStr">
        <is>
          <t>0,320 [0,254; 0,382]</t>
        </is>
      </c>
      <c r="C7" s="2" t="inlineStr">
        <is>
          <t>0,397 [0,280; 0,501]</t>
        </is>
      </c>
      <c r="D7" s="2" t="inlineStr">
        <is>
          <t>−0,077 [−0,176; +0,025]</t>
        </is>
      </c>
      <c r="E7" s="2" t="inlineStr">
        <is>
          <t>7 %</t>
        </is>
      </c>
    </row>
    <row r="8">
      <c r="A8" s="2" t="inlineStr">
        <is>
          <t>C5</t>
        </is>
      </c>
      <c r="B8" s="2" t="inlineStr">
        <is>
          <t>0,583 [0,521; 0,634]</t>
        </is>
      </c>
      <c r="C8" s="2" t="inlineStr">
        <is>
          <t>0,555 [0,456; 0,649]</t>
        </is>
      </c>
      <c r="D8" s="2" t="inlineStr">
        <is>
          <t>+0,029 [−0,060; +0,115]</t>
        </is>
      </c>
      <c r="E8" s="2" t="inlineStr">
        <is>
          <t>75 %</t>
        </is>
      </c>
    </row>
    <row r="9">
      <c r="A9" s="2" t="inlineStr">
        <is>
          <t>Total</t>
        </is>
      </c>
      <c r="B9" s="2" t="inlineStr">
        <is>
          <t>0,534 [0,467; 0,592]</t>
        </is>
      </c>
      <c r="C9" s="2" t="inlineStr">
        <is>
          <t>0,494 [0,367; 0,600]</t>
        </is>
      </c>
      <c r="D9" s="2" t="inlineStr">
        <is>
          <t>+0,040 [−0,059; +0,143]</t>
        </is>
      </c>
      <c r="E9" s="2" t="inlineStr">
        <is>
          <t>78 %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2026-10-23T17:27:59Z</dcterms:created>
  <dcterms:modified xsi:type="dcterms:W3CDTF">2026-10-23T21:25:41Z</dcterms:modified>
</cp:coreProperties>
</file>